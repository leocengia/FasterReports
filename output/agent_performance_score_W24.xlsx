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Blended Agent KPI insights</a:t>
            </a:r>
          </a:p>
        </rich>
      </tx>
    </title>
    <plotArea>
      <lineChart>
        <grouping val="standard"/>
        <ser>
          <idx val="0"/>
          <order val="0"/>
          <tx>
            <strRef>
              <f>'Agent Performance'!T4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'Agent Performance'!$S$5:$S$42</f>
            </numRef>
          </cat>
          <val>
            <numRef>
              <f>'Agent Performance'!$T$5:$T$42</f>
            </numRef>
          </val>
        </ser>
        <ser>
          <idx val="1"/>
          <order val="1"/>
          <tx>
            <strRef>
              <f>'Agent Performance'!U4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'Agent Performance'!$S$5:$S$42</f>
            </numRef>
          </cat>
          <val>
            <numRef>
              <f>'Agent Performance'!$U$5:$U$42</f>
            </numRef>
          </val>
        </ser>
        <ser>
          <idx val="2"/>
          <order val="2"/>
          <tx>
            <strRef>
              <f>'Agent Performance'!V4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'Agent Performance'!$S$5:$S$42</f>
            </numRef>
          </cat>
          <val>
            <numRef>
              <f>'Agent Performance'!$V$5:$V$42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Agent vs Team AHT [Phone]</a:t>
            </a:r>
          </a:p>
        </rich>
      </tx>
    </title>
    <plotArea>
      <radarChart>
        <radarStyle val="standard"/>
        <ser>
          <idx val="0"/>
          <order val="0"/>
          <tx>
            <strRef>
              <f>'Agent Performance'!F4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'Agent Performance'!$E$5:$E$42</f>
            </numRef>
          </cat>
          <val>
            <numRef>
              <f>'Agent Performance'!$F$5:$F$42</f>
            </numRef>
          </val>
        </ser>
        <ser>
          <idx val="1"/>
          <order val="1"/>
          <tx>
            <strRef>
              <f>'Agent Performance'!H4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'Agent Performance'!$E$5:$E$42</f>
            </numRef>
          </cat>
          <val>
            <numRef>
              <f>'Agent Performance'!$H$5:$H$42</f>
            </numRef>
          </val>
        </ser>
        <ser>
          <idx val="2"/>
          <order val="2"/>
          <tx>
            <strRef>
              <f>'Agent Performance'!I4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'Agent Performance'!$E$5:$E$42</f>
            </numRef>
          </cat>
          <val>
            <numRef>
              <f>'Agent Performance'!$I$5:$I$42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Agent vs Team AHT [Non-live]</a:t>
            </a:r>
          </a:p>
        </rich>
      </tx>
    </title>
    <plotArea>
      <radarChart>
        <radarStyle val="standard"/>
        <ser>
          <idx val="0"/>
          <order val="0"/>
          <tx>
            <strRef>
              <f>'Agent Performance'!M4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'Agent Performance'!$L$5:$L$41</f>
            </numRef>
          </cat>
          <val>
            <numRef>
              <f>'Agent Performance'!$M$5:$M$41</f>
            </numRef>
          </val>
        </ser>
        <ser>
          <idx val="1"/>
          <order val="1"/>
          <tx>
            <strRef>
              <f>'Agent Performance'!O4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'Agent Performance'!$L$5:$L$41</f>
            </numRef>
          </cat>
          <val>
            <numRef>
              <f>'Agent Performance'!$O$5:$O$41</f>
            </numRef>
          </val>
        </ser>
        <ser>
          <idx val="2"/>
          <order val="2"/>
          <tx>
            <strRef>
              <f>'Agent Performance'!P4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'Agent Performance'!$L$5:$L$41</f>
            </numRef>
          </cat>
          <val>
            <numRef>
              <f>'Agent Performance'!$P$5:$P$41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271894</colOff>
      <row>48</row>
      <rowOff>91785</rowOff>
    </from>
    <to>
      <col>24</col>
      <colOff>34636</colOff>
      <row>88</row>
      <rowOff>51954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24</col>
      <colOff>324969</colOff>
      <row>1</row>
      <rowOff>186016</rowOff>
    </from>
    <to>
      <col>39</col>
      <colOff>190500</colOff>
      <row>41</row>
      <rowOff>122465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24</col>
      <colOff>326570</colOff>
      <row>42</row>
      <rowOff>186417</rowOff>
    </from>
    <to>
      <col>39</col>
      <colOff>204106</colOff>
      <row>80</row>
      <rowOff>81643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X42"/>
  <sheetViews>
    <sheetView workbookViewId="0">
      <selection activeCell="A1" sqref="A1"/>
    </sheetView>
  </sheetViews>
  <sheetFormatPr baseColWidth="8" defaultRowHeight="15"/>
  <cols>
    <col width="23" customWidth="1" min="1" max="1"/>
    <col width="17.28" customWidth="1" min="2" max="2"/>
    <col width="7.71" customWidth="1" min="3" max="3"/>
    <col width="21.14" customWidth="1" min="5" max="5"/>
    <col width="5.57" customWidth="1" min="6" max="6"/>
    <col width="9.57" customWidth="1" min="8" max="8"/>
    <col width="17.28" customWidth="1" min="10" max="10"/>
    <col width="2.71" customWidth="1" min="11" max="11"/>
    <col width="21.14" customWidth="1" min="12" max="12"/>
    <col width="5.57" customWidth="1" min="13" max="13"/>
    <col width="7.71" customWidth="1" min="14" max="14"/>
    <col width="13.14" customWidth="1" min="17" max="17"/>
    <col width="2.85" customWidth="1" min="18" max="18"/>
    <col width="21.14" customWidth="1" min="19" max="19"/>
    <col width="12.14" customWidth="1" min="20" max="20"/>
    <col width="21.14" customWidth="1" min="21" max="21"/>
    <col width="12.14" customWidth="1" min="23" max="23"/>
    <col width="21.14" customWidth="1" min="24" max="24"/>
  </cols>
  <sheetData>
    <row r="2" ht="15.75" customHeight="1"/>
    <row r="3" ht="15.75" customHeight="1">
      <c r="E3" s="1" t="inlineStr">
        <is>
          <t>Non-live</t>
        </is>
      </c>
      <c r="L3" s="1" t="inlineStr">
        <is>
          <t>Phone</t>
        </is>
      </c>
      <c r="S3" s="1" t="inlineStr">
        <is>
          <t>Blended</t>
        </is>
      </c>
    </row>
    <row r="4" ht="15.75" customHeight="1">
      <c r="E4" s="1" t="inlineStr">
        <is>
          <t>Agent</t>
        </is>
      </c>
      <c r="F4" s="1" t="inlineStr">
        <is>
          <t>aht</t>
        </is>
      </c>
      <c r="G4" s="1" t="inlineStr">
        <is>
          <t>volume</t>
        </is>
      </c>
      <c r="H4" s="1" t="inlineStr">
        <is>
          <t>team_avg</t>
        </is>
      </c>
      <c r="I4" s="1" t="inlineStr">
        <is>
          <t>target</t>
        </is>
      </c>
      <c r="J4" s="1" t="inlineStr">
        <is>
          <t>avg_daily_vol</t>
        </is>
      </c>
      <c r="L4" s="1" t="inlineStr">
        <is>
          <t>Agent</t>
        </is>
      </c>
      <c r="M4" s="1" t="inlineStr">
        <is>
          <t>aht</t>
        </is>
      </c>
      <c r="N4" s="1" t="inlineStr">
        <is>
          <t>volume</t>
        </is>
      </c>
      <c r="O4" s="1" t="inlineStr">
        <is>
          <t>team_avg</t>
        </is>
      </c>
      <c r="P4" s="1" t="inlineStr">
        <is>
          <t>target</t>
        </is>
      </c>
      <c r="Q4" s="1" t="inlineStr">
        <is>
          <t>avg_daily_vol</t>
        </is>
      </c>
      <c r="S4" s="1" t="inlineStr">
        <is>
          <t>Agent</t>
        </is>
      </c>
      <c r="T4" s="1" t="inlineStr">
        <is>
          <t>aht</t>
        </is>
      </c>
      <c r="U4" s="1" t="inlineStr">
        <is>
          <t>team_avg</t>
        </is>
      </c>
      <c r="V4" s="1" t="inlineStr">
        <is>
          <t>target</t>
        </is>
      </c>
      <c r="W4" s="1" t="inlineStr">
        <is>
          <t>monthly_vol</t>
        </is>
      </c>
      <c r="X4" s="1" t="inlineStr">
        <is>
          <t>avg_daily_vol</t>
        </is>
      </c>
    </row>
    <row r="5">
      <c r="E5" s="2" t="inlineStr">
        <is>
          <t>Ahmed Afifi</t>
        </is>
      </c>
      <c r="F5" s="3" t="n">
        <v>9.112500000000001</v>
      </c>
      <c r="G5" s="4" t="n">
        <v>16</v>
      </c>
      <c r="H5" s="3" t="n">
        <v>14.07386990077178</v>
      </c>
      <c r="I5" s="3" t="n">
        <v>20</v>
      </c>
      <c r="J5" s="3">
        <f>G5/22</f>
        <v/>
      </c>
      <c r="L5" s="2" t="inlineStr">
        <is>
          <t>Ahmed Afifi</t>
        </is>
      </c>
      <c r="M5" s="3" t="n">
        <v>13.6</v>
      </c>
      <c r="N5" s="4" t="n">
        <v>27</v>
      </c>
      <c r="O5" s="3" t="n">
        <v>21.08109412711183</v>
      </c>
      <c r="P5" s="3" t="n">
        <v>19.08333333333333</v>
      </c>
      <c r="Q5" s="3">
        <f>N5/22</f>
        <v/>
      </c>
      <c r="S5" s="2" t="inlineStr">
        <is>
          <t>Miriam De Pasquale</t>
        </is>
      </c>
      <c r="T5" s="3" t="n">
        <v>48.21176470588235</v>
      </c>
      <c r="U5" s="3" t="n">
        <v>18.12502325581395</v>
      </c>
      <c r="V5" s="3" t="n">
        <v>19.54166666666667</v>
      </c>
      <c r="W5" s="4" t="n">
        <v>17</v>
      </c>
      <c r="X5" s="3">
        <f>W5/22</f>
        <v/>
      </c>
    </row>
    <row r="6">
      <c r="E6" s="2" t="inlineStr">
        <is>
          <t>Alessandro Passariello</t>
        </is>
      </c>
      <c r="F6" s="3" t="n">
        <v>13.51666666666667</v>
      </c>
      <c r="G6" s="4" t="n">
        <v>36</v>
      </c>
      <c r="H6" s="3" t="n">
        <v>14.07386990077178</v>
      </c>
      <c r="I6" s="3" t="n">
        <v>20</v>
      </c>
      <c r="J6" s="3">
        <f>G6/22</f>
        <v/>
      </c>
      <c r="L6" s="2" t="inlineStr">
        <is>
          <t>Alessandro Passariello</t>
        </is>
      </c>
      <c r="M6" s="3" t="n">
        <v>14.8</v>
      </c>
      <c r="N6" s="4" t="n">
        <v>42</v>
      </c>
      <c r="O6" s="3" t="n">
        <v>21.08109412711183</v>
      </c>
      <c r="P6" s="3" t="n">
        <v>19.08333333333333</v>
      </c>
      <c r="Q6" s="3">
        <f>N6/22</f>
        <v/>
      </c>
      <c r="S6" s="2" t="inlineStr">
        <is>
          <t>Viktoriia Lavrinets</t>
        </is>
      </c>
      <c r="T6" s="3" t="n">
        <v>38.72941176470588</v>
      </c>
      <c r="U6" s="3" t="n">
        <v>18.12502325581395</v>
      </c>
      <c r="V6" s="3" t="n">
        <v>19.54166666666667</v>
      </c>
      <c r="W6" s="4" t="n">
        <v>51</v>
      </c>
      <c r="X6" s="3">
        <f>W6/22</f>
        <v/>
      </c>
    </row>
    <row r="7">
      <c r="E7" s="2" t="inlineStr">
        <is>
          <t>Alessia Gaspardi</t>
        </is>
      </c>
      <c r="F7" s="3" t="n">
        <v>15.61818181818182</v>
      </c>
      <c r="G7" s="4" t="n">
        <v>33</v>
      </c>
      <c r="H7" s="3" t="n">
        <v>14.07386990077178</v>
      </c>
      <c r="I7" s="3" t="n">
        <v>20</v>
      </c>
      <c r="J7" s="3">
        <f>G7/22</f>
        <v/>
      </c>
      <c r="L7" s="2" t="inlineStr">
        <is>
          <t>Alessia Gaspardi</t>
        </is>
      </c>
      <c r="M7" s="3" t="n">
        <v>19.33125</v>
      </c>
      <c r="N7" s="4" t="n">
        <v>32</v>
      </c>
      <c r="O7" s="3" t="n">
        <v>21.08109412711183</v>
      </c>
      <c r="P7" s="3" t="n">
        <v>19.08333333333333</v>
      </c>
      <c r="Q7" s="3">
        <f>N7/22</f>
        <v/>
      </c>
      <c r="S7" s="2" t="inlineStr">
        <is>
          <t>Samuele Naldi</t>
        </is>
      </c>
      <c r="T7" s="3" t="n">
        <v>32.56363636363636</v>
      </c>
      <c r="U7" s="3" t="n">
        <v>18.12502325581395</v>
      </c>
      <c r="V7" s="3" t="n">
        <v>19.54166666666667</v>
      </c>
      <c r="W7" s="4" t="n">
        <v>33</v>
      </c>
      <c r="X7" s="3">
        <f>W7/22</f>
        <v/>
      </c>
    </row>
    <row r="8">
      <c r="E8" s="2" t="inlineStr">
        <is>
          <t>Alice Di Pace</t>
        </is>
      </c>
      <c r="F8" s="3" t="n">
        <v>11.46</v>
      </c>
      <c r="G8" s="4" t="n">
        <v>10</v>
      </c>
      <c r="H8" s="3" t="n">
        <v>14.07386990077178</v>
      </c>
      <c r="I8" s="3" t="n">
        <v>20</v>
      </c>
      <c r="J8" s="3">
        <f>G8/22</f>
        <v/>
      </c>
      <c r="L8" s="2" t="inlineStr">
        <is>
          <t>Alice Di Pace</t>
        </is>
      </c>
      <c r="M8" s="3" t="n">
        <v>20.685</v>
      </c>
      <c r="N8" s="4" t="n">
        <v>40</v>
      </c>
      <c r="O8" s="3" t="n">
        <v>21.08109412711183</v>
      </c>
      <c r="P8" s="3" t="n">
        <v>19.08333333333333</v>
      </c>
      <c r="Q8" s="3">
        <f>N8/22</f>
        <v/>
      </c>
      <c r="S8" s="2" t="inlineStr">
        <is>
          <t>Ambra Ramella</t>
        </is>
      </c>
      <c r="T8" s="3" t="n">
        <v>31.6</v>
      </c>
      <c r="U8" s="3" t="n">
        <v>18.12502325581395</v>
      </c>
      <c r="V8" s="3" t="n">
        <v>19.54166666666667</v>
      </c>
      <c r="W8" s="4" t="n">
        <v>27</v>
      </c>
      <c r="X8" s="3">
        <f>W8/22</f>
        <v/>
      </c>
    </row>
    <row r="9">
      <c r="E9" s="2" t="inlineStr">
        <is>
          <t>Alice Galbussera</t>
        </is>
      </c>
      <c r="F9" s="3" t="n">
        <v>13.72941176470588</v>
      </c>
      <c r="G9" s="4" t="n">
        <v>17</v>
      </c>
      <c r="H9" s="3" t="n">
        <v>14.07386990077178</v>
      </c>
      <c r="I9" s="3" t="n">
        <v>20</v>
      </c>
      <c r="J9" s="3">
        <f>G9/22</f>
        <v/>
      </c>
      <c r="L9" s="2" t="inlineStr">
        <is>
          <t>Alice Galbussera</t>
        </is>
      </c>
      <c r="M9" s="3" t="n">
        <v>22.90344827586207</v>
      </c>
      <c r="N9" s="4" t="n">
        <v>29</v>
      </c>
      <c r="O9" s="3" t="n">
        <v>21.08109412711183</v>
      </c>
      <c r="P9" s="3" t="n">
        <v>19.08333333333333</v>
      </c>
      <c r="Q9" s="3">
        <f>N9/22</f>
        <v/>
      </c>
      <c r="S9" s="2" t="inlineStr">
        <is>
          <t>Francesco Carnevali</t>
        </is>
      </c>
      <c r="T9" s="3" t="n">
        <v>31.49032258064516</v>
      </c>
      <c r="U9" s="3" t="n">
        <v>18.12502325581395</v>
      </c>
      <c r="V9" s="3" t="n">
        <v>19.54166666666667</v>
      </c>
      <c r="W9" s="4" t="n">
        <v>62</v>
      </c>
      <c r="X9" s="3">
        <f>W9/22</f>
        <v/>
      </c>
    </row>
    <row r="10">
      <c r="E10" s="2" t="inlineStr">
        <is>
          <t>Ambra Ramella</t>
        </is>
      </c>
      <c r="F10" s="3" t="n">
        <v>32.25</v>
      </c>
      <c r="G10" s="4" t="n">
        <v>8</v>
      </c>
      <c r="H10" s="3" t="n">
        <v>14.07386990077178</v>
      </c>
      <c r="I10" s="3" t="n">
        <v>20</v>
      </c>
      <c r="J10" s="3">
        <f>G10/22</f>
        <v/>
      </c>
      <c r="L10" s="2" t="inlineStr">
        <is>
          <t>Ambra Ramella</t>
        </is>
      </c>
      <c r="M10" s="3" t="n">
        <v>31.32631578947369</v>
      </c>
      <c r="N10" s="4" t="n">
        <v>19</v>
      </c>
      <c r="O10" s="3" t="n">
        <v>21.08109412711183</v>
      </c>
      <c r="P10" s="3" t="n">
        <v>19.08333333333333</v>
      </c>
      <c r="Q10" s="3">
        <f>N10/22</f>
        <v/>
      </c>
      <c r="S10" s="2" t="inlineStr">
        <is>
          <t>Asia Chirullo</t>
        </is>
      </c>
      <c r="T10" s="3" t="n">
        <v>26.23448275862068</v>
      </c>
      <c r="U10" s="3" t="n">
        <v>18.12502325581395</v>
      </c>
      <c r="V10" s="3" t="n">
        <v>19.54166666666667</v>
      </c>
      <c r="W10" s="4" t="n">
        <v>58</v>
      </c>
      <c r="X10" s="3">
        <f>W10/22</f>
        <v/>
      </c>
    </row>
    <row r="11">
      <c r="E11" s="2" t="inlineStr">
        <is>
          <t>Antonella Pedroni</t>
        </is>
      </c>
      <c r="F11" s="3" t="n">
        <v>13.84615384615385</v>
      </c>
      <c r="G11" s="4" t="n">
        <v>26</v>
      </c>
      <c r="H11" s="3" t="n">
        <v>14.07386990077178</v>
      </c>
      <c r="I11" s="3" t="n">
        <v>20</v>
      </c>
      <c r="J11" s="3">
        <f>G11/22</f>
        <v/>
      </c>
      <c r="L11" s="2" t="inlineStr">
        <is>
          <t>Antonella Pedroni</t>
        </is>
      </c>
      <c r="M11" s="3" t="n">
        <v>19.83333333333333</v>
      </c>
      <c r="N11" s="4" t="n">
        <v>36</v>
      </c>
      <c r="O11" s="3" t="n">
        <v>21.08109412711183</v>
      </c>
      <c r="P11" s="3" t="n">
        <v>19.08333333333333</v>
      </c>
      <c r="Q11" s="3">
        <f>N11/22</f>
        <v/>
      </c>
      <c r="S11" s="2" t="inlineStr">
        <is>
          <t>Valentina Rozza</t>
        </is>
      </c>
      <c r="T11" s="3" t="n">
        <v>23.95384615384616</v>
      </c>
      <c r="U11" s="3" t="n">
        <v>18.12502325581395</v>
      </c>
      <c r="V11" s="3" t="n">
        <v>19.54166666666667</v>
      </c>
      <c r="W11" s="4" t="n">
        <v>52</v>
      </c>
      <c r="X11" s="3">
        <f>W11/22</f>
        <v/>
      </c>
    </row>
    <row r="12">
      <c r="E12" s="2" t="inlineStr">
        <is>
          <t>Antonio Commisso</t>
        </is>
      </c>
      <c r="F12" s="3" t="n">
        <v>9.370212765957445</v>
      </c>
      <c r="G12" s="4" t="n">
        <v>47</v>
      </c>
      <c r="H12" s="3" t="n">
        <v>14.07386990077178</v>
      </c>
      <c r="I12" s="3" t="n">
        <v>20</v>
      </c>
      <c r="J12" s="3">
        <f>G12/22</f>
        <v/>
      </c>
      <c r="L12" s="2" t="inlineStr">
        <is>
          <t>Antonio Commisso</t>
        </is>
      </c>
      <c r="M12" s="3" t="n">
        <v>23.93333333333334</v>
      </c>
      <c r="N12" s="4" t="n">
        <v>27</v>
      </c>
      <c r="O12" s="3" t="n">
        <v>21.08109412711183</v>
      </c>
      <c r="P12" s="3" t="n">
        <v>19.08333333333333</v>
      </c>
      <c r="Q12" s="3">
        <f>N12/22</f>
        <v/>
      </c>
      <c r="S12" s="2" t="inlineStr">
        <is>
          <t>Matteo Perrone</t>
        </is>
      </c>
      <c r="T12" s="3" t="n">
        <v>21.23076923076923</v>
      </c>
      <c r="U12" s="3" t="n">
        <v>18.12502325581395</v>
      </c>
      <c r="V12" s="3" t="n">
        <v>19.54166666666667</v>
      </c>
      <c r="W12" s="4" t="n">
        <v>52</v>
      </c>
      <c r="X12" s="3">
        <f>W12/22</f>
        <v/>
      </c>
    </row>
    <row r="13">
      <c r="E13" s="2" t="inlineStr">
        <is>
          <t>Asia Chirullo</t>
        </is>
      </c>
      <c r="F13" s="3" t="n">
        <v>41.74285714285714</v>
      </c>
      <c r="G13" s="4" t="n">
        <v>14</v>
      </c>
      <c r="H13" s="3" t="n">
        <v>14.07386990077178</v>
      </c>
      <c r="I13" s="3" t="n">
        <v>20</v>
      </c>
      <c r="J13" s="3">
        <f>G13/22</f>
        <v/>
      </c>
      <c r="L13" s="2" t="inlineStr">
        <is>
          <t>Asia Chirullo</t>
        </is>
      </c>
      <c r="M13" s="3" t="n">
        <v>21.3</v>
      </c>
      <c r="N13" s="4" t="n">
        <v>44</v>
      </c>
      <c r="O13" s="3" t="n">
        <v>21.08109412711183</v>
      </c>
      <c r="P13" s="3" t="n">
        <v>19.08333333333333</v>
      </c>
      <c r="Q13" s="3">
        <f>N13/22</f>
        <v/>
      </c>
      <c r="S13" s="2" t="inlineStr">
        <is>
          <t>Simone Pia</t>
        </is>
      </c>
      <c r="T13" s="3" t="n">
        <v>21.18857142857143</v>
      </c>
      <c r="U13" s="3" t="n">
        <v>18.12502325581395</v>
      </c>
      <c r="V13" s="3" t="n">
        <v>19.54166666666667</v>
      </c>
      <c r="W13" s="4" t="n">
        <v>35</v>
      </c>
      <c r="X13" s="3">
        <f>W13/22</f>
        <v/>
      </c>
    </row>
    <row r="14">
      <c r="E14" s="2" t="inlineStr">
        <is>
          <t>Beatrice Binotto</t>
        </is>
      </c>
      <c r="F14" s="3" t="n">
        <v>11.38</v>
      </c>
      <c r="G14" s="4" t="n">
        <v>30</v>
      </c>
      <c r="H14" s="3" t="n">
        <v>14.07386990077178</v>
      </c>
      <c r="I14" s="3" t="n">
        <v>20</v>
      </c>
      <c r="J14" s="3">
        <f>G14/22</f>
        <v/>
      </c>
      <c r="L14" s="2" t="inlineStr">
        <is>
          <t>Beatrice Binotto</t>
        </is>
      </c>
      <c r="M14" s="3" t="n">
        <v>18.9875</v>
      </c>
      <c r="N14" s="4" t="n">
        <v>48</v>
      </c>
      <c r="O14" s="3" t="n">
        <v>21.08109412711183</v>
      </c>
      <c r="P14" s="3" t="n">
        <v>19.08333333333333</v>
      </c>
      <c r="Q14" s="3">
        <f>N14/22</f>
        <v/>
      </c>
      <c r="S14" s="2" t="inlineStr">
        <is>
          <t>Penda Diop</t>
        </is>
      </c>
      <c r="T14" s="3" t="n">
        <v>21.09428571428572</v>
      </c>
      <c r="U14" s="3" t="n">
        <v>18.12502325581395</v>
      </c>
      <c r="V14" s="3" t="n">
        <v>19.54166666666667</v>
      </c>
      <c r="W14" s="4" t="n">
        <v>70</v>
      </c>
      <c r="X14" s="3">
        <f>W14/22</f>
        <v/>
      </c>
    </row>
    <row r="15">
      <c r="E15" s="2" t="inlineStr">
        <is>
          <t>Daniela Sandrini</t>
        </is>
      </c>
      <c r="F15" s="3" t="n">
        <v>11.24444444444445</v>
      </c>
      <c r="G15" s="4" t="n">
        <v>27</v>
      </c>
      <c r="H15" s="3" t="n">
        <v>14.07386990077178</v>
      </c>
      <c r="I15" s="3" t="n">
        <v>20</v>
      </c>
      <c r="J15" s="3">
        <f>G15/22</f>
        <v/>
      </c>
      <c r="L15" s="2" t="inlineStr">
        <is>
          <t>Daniela Sandrini</t>
        </is>
      </c>
      <c r="M15" s="3" t="n">
        <v>14.05573770491803</v>
      </c>
      <c r="N15" s="4" t="n">
        <v>61</v>
      </c>
      <c r="O15" s="3" t="n">
        <v>21.08109412711183</v>
      </c>
      <c r="P15" s="3" t="n">
        <v>19.08333333333333</v>
      </c>
      <c r="Q15" s="3">
        <f>N15/22</f>
        <v/>
      </c>
      <c r="S15" s="2" t="inlineStr">
        <is>
          <t>Matteo Valzasina</t>
        </is>
      </c>
      <c r="T15" s="3" t="n">
        <v>20.75999999999999</v>
      </c>
      <c r="U15" s="3" t="n">
        <v>18.12502325581395</v>
      </c>
      <c r="V15" s="3" t="n">
        <v>19.54166666666667</v>
      </c>
      <c r="W15" s="4" t="n">
        <v>50</v>
      </c>
      <c r="X15" s="3">
        <f>W15/22</f>
        <v/>
      </c>
    </row>
    <row r="16">
      <c r="E16" s="2" t="inlineStr">
        <is>
          <t>Daniele Petrellese</t>
        </is>
      </c>
      <c r="F16" s="3" t="n">
        <v>13.46086956521739</v>
      </c>
      <c r="G16" s="4" t="n">
        <v>23</v>
      </c>
      <c r="H16" s="3" t="n">
        <v>14.07386990077178</v>
      </c>
      <c r="I16" s="3" t="n">
        <v>20</v>
      </c>
      <c r="J16" s="3">
        <f>G16/22</f>
        <v/>
      </c>
      <c r="L16" s="2" t="inlineStr">
        <is>
          <t>Daniele Petrellese</t>
        </is>
      </c>
      <c r="M16" s="3" t="n">
        <v>20.19574468085106</v>
      </c>
      <c r="N16" s="4" t="n">
        <v>47</v>
      </c>
      <c r="O16" s="3" t="n">
        <v>21.08109412711183</v>
      </c>
      <c r="P16" s="3" t="n">
        <v>19.08333333333333</v>
      </c>
      <c r="Q16" s="3">
        <f>N16/22</f>
        <v/>
      </c>
      <c r="S16" s="2" t="inlineStr">
        <is>
          <t>Kaotar Garaoui</t>
        </is>
      </c>
      <c r="T16" s="3" t="n">
        <v>20.47058823529412</v>
      </c>
      <c r="U16" s="3" t="n">
        <v>18.12502325581395</v>
      </c>
      <c r="V16" s="3" t="n">
        <v>19.54166666666667</v>
      </c>
      <c r="W16" s="4" t="n">
        <v>17</v>
      </c>
      <c r="X16" s="3">
        <f>W16/22</f>
        <v/>
      </c>
    </row>
    <row r="17">
      <c r="E17" s="2" t="inlineStr">
        <is>
          <t>Davide Parisi</t>
        </is>
      </c>
      <c r="F17" s="3" t="n">
        <v>17.38571428571429</v>
      </c>
      <c r="G17" s="4" t="n">
        <v>42</v>
      </c>
      <c r="H17" s="3" t="n">
        <v>14.07386990077178</v>
      </c>
      <c r="I17" s="3" t="n">
        <v>20</v>
      </c>
      <c r="J17" s="3">
        <f>G17/22</f>
        <v/>
      </c>
      <c r="L17" s="2" t="inlineStr">
        <is>
          <t>Davide Parisi</t>
        </is>
      </c>
      <c r="M17" s="3" t="n">
        <v>20.53333333333333</v>
      </c>
      <c r="N17" s="4" t="n">
        <v>18</v>
      </c>
      <c r="O17" s="3" t="n">
        <v>21.08109412711183</v>
      </c>
      <c r="P17" s="3" t="n">
        <v>19.08333333333333</v>
      </c>
      <c r="Q17" s="3">
        <f>N17/22</f>
        <v/>
      </c>
      <c r="S17" s="2" t="inlineStr">
        <is>
          <t>Alice Galbussera</t>
        </is>
      </c>
      <c r="T17" s="3" t="n">
        <v>19.51304347826087</v>
      </c>
      <c r="U17" s="3" t="n">
        <v>18.12502325581395</v>
      </c>
      <c r="V17" s="3" t="n">
        <v>19.54166666666667</v>
      </c>
      <c r="W17" s="4" t="n">
        <v>46</v>
      </c>
      <c r="X17" s="3">
        <f>W17/22</f>
        <v/>
      </c>
    </row>
    <row r="18">
      <c r="E18" s="2" t="inlineStr">
        <is>
          <t>Eleonora Sissa</t>
        </is>
      </c>
      <c r="F18" s="3" t="n">
        <v>4.022535211267606</v>
      </c>
      <c r="G18" s="4" t="n">
        <v>71</v>
      </c>
      <c r="H18" s="3" t="n">
        <v>14.07386990077178</v>
      </c>
      <c r="I18" s="3" t="n">
        <v>20</v>
      </c>
      <c r="J18" s="3">
        <f>G18/22</f>
        <v/>
      </c>
      <c r="L18" s="2" t="inlineStr">
        <is>
          <t>Eleonora Sissa</t>
        </is>
      </c>
      <c r="M18" s="3" t="n">
        <v>19.14444444444444</v>
      </c>
      <c r="N18" s="4" t="n">
        <v>54</v>
      </c>
      <c r="O18" s="3" t="n">
        <v>21.08109412711183</v>
      </c>
      <c r="P18" s="3" t="n">
        <v>19.08333333333333</v>
      </c>
      <c r="Q18" s="3">
        <f>N18/22</f>
        <v/>
      </c>
      <c r="S18" s="2" t="inlineStr">
        <is>
          <t>Lorenzo Barbieri</t>
        </is>
      </c>
      <c r="T18" s="3" t="n">
        <v>19.39090909090909</v>
      </c>
      <c r="U18" s="3" t="n">
        <v>18.12502325581395</v>
      </c>
      <c r="V18" s="3" t="n">
        <v>19.54166666666667</v>
      </c>
      <c r="W18" s="4" t="n">
        <v>88</v>
      </c>
      <c r="X18" s="3">
        <f>W18/22</f>
        <v/>
      </c>
    </row>
    <row r="19">
      <c r="E19" s="2" t="inlineStr">
        <is>
          <t>Eros Allonato</t>
        </is>
      </c>
      <c r="F19" s="3" t="n">
        <v>8.942857142857143</v>
      </c>
      <c r="G19" s="4" t="n">
        <v>21</v>
      </c>
      <c r="H19" s="3" t="n">
        <v>14.07386990077178</v>
      </c>
      <c r="I19" s="3" t="n">
        <v>20</v>
      </c>
      <c r="J19" s="3">
        <f>G19/22</f>
        <v/>
      </c>
      <c r="L19" s="2" t="inlineStr">
        <is>
          <t>Eros Allonato</t>
        </is>
      </c>
      <c r="M19" s="3" t="n">
        <v>10.8</v>
      </c>
      <c r="N19" s="4" t="n">
        <v>25</v>
      </c>
      <c r="O19" s="3" t="n">
        <v>21.08109412711183</v>
      </c>
      <c r="P19" s="3" t="n">
        <v>19.08333333333333</v>
      </c>
      <c r="Q19" s="3">
        <f>N19/22</f>
        <v/>
      </c>
      <c r="S19" s="2" t="inlineStr">
        <is>
          <t>Lucia Serafini</t>
        </is>
      </c>
      <c r="T19" s="3" t="n">
        <v>19.13478260869565</v>
      </c>
      <c r="U19" s="3" t="n">
        <v>18.12502325581395</v>
      </c>
      <c r="V19" s="3" t="n">
        <v>19.54166666666667</v>
      </c>
      <c r="W19" s="4" t="n">
        <v>46</v>
      </c>
      <c r="X19" s="3">
        <f>W19/22</f>
        <v/>
      </c>
    </row>
    <row r="20">
      <c r="E20" s="2" t="inlineStr">
        <is>
          <t>Francesca Garotta</t>
        </is>
      </c>
      <c r="F20" s="3" t="n">
        <v>14.712</v>
      </c>
      <c r="G20" s="4" t="n">
        <v>25</v>
      </c>
      <c r="H20" s="3" t="n">
        <v>14.07386990077178</v>
      </c>
      <c r="I20" s="3" t="n">
        <v>20</v>
      </c>
      <c r="J20" s="3">
        <f>G20/22</f>
        <v/>
      </c>
      <c r="L20" s="2" t="inlineStr">
        <is>
          <t>Francesca Garotta</t>
        </is>
      </c>
      <c r="M20" s="3" t="n">
        <v>19.49142857142857</v>
      </c>
      <c r="N20" s="4" t="n">
        <v>35</v>
      </c>
      <c r="O20" s="3" t="n">
        <v>21.08109412711183</v>
      </c>
      <c r="P20" s="3" t="n">
        <v>19.08333333333333</v>
      </c>
      <c r="Q20" s="3">
        <f>N20/22</f>
        <v/>
      </c>
      <c r="S20" s="2" t="inlineStr">
        <is>
          <t>Alice Di Pace</t>
        </is>
      </c>
      <c r="T20" s="3" t="n">
        <v>18.84</v>
      </c>
      <c r="U20" s="3" t="n">
        <v>18.12502325581395</v>
      </c>
      <c r="V20" s="3" t="n">
        <v>19.54166666666667</v>
      </c>
      <c r="W20" s="4" t="n">
        <v>50</v>
      </c>
      <c r="X20" s="3">
        <f>W20/22</f>
        <v/>
      </c>
    </row>
    <row r="21">
      <c r="E21" s="2" t="inlineStr">
        <is>
          <t>Francesco Carnevali</t>
        </is>
      </c>
      <c r="F21" s="3" t="n">
        <v>22.62857142857143</v>
      </c>
      <c r="G21" s="4" t="n">
        <v>21</v>
      </c>
      <c r="H21" s="3" t="n">
        <v>14.07386990077178</v>
      </c>
      <c r="I21" s="3" t="n">
        <v>20</v>
      </c>
      <c r="J21" s="3">
        <f>G21/22</f>
        <v/>
      </c>
      <c r="L21" s="2" t="inlineStr">
        <is>
          <t>Francesco Carnevali</t>
        </is>
      </c>
      <c r="M21" s="3" t="n">
        <v>36.02926829268293</v>
      </c>
      <c r="N21" s="4" t="n">
        <v>41</v>
      </c>
      <c r="O21" s="3" t="n">
        <v>21.08109412711183</v>
      </c>
      <c r="P21" s="3" t="n">
        <v>19.08333333333333</v>
      </c>
      <c r="Q21" s="3">
        <f>N21/22</f>
        <v/>
      </c>
      <c r="S21" s="2" t="inlineStr">
        <is>
          <t>Stefano Marchini</t>
        </is>
      </c>
      <c r="T21" s="3" t="n">
        <v>18.45882352941176</v>
      </c>
      <c r="U21" s="3" t="n">
        <v>18.12502325581395</v>
      </c>
      <c r="V21" s="3" t="n">
        <v>19.54166666666667</v>
      </c>
      <c r="W21" s="4" t="n">
        <v>51</v>
      </c>
      <c r="X21" s="3">
        <f>W21/22</f>
        <v/>
      </c>
    </row>
    <row r="22">
      <c r="E22" s="2" t="inlineStr">
        <is>
          <t>Gabriele Giannini</t>
        </is>
      </c>
      <c r="F22" s="3" t="n">
        <v>13.81714285714286</v>
      </c>
      <c r="G22" s="4" t="n">
        <v>35</v>
      </c>
      <c r="H22" s="3" t="n">
        <v>14.07386990077178</v>
      </c>
      <c r="I22" s="3" t="n">
        <v>20</v>
      </c>
      <c r="J22" s="3">
        <f>G22/22</f>
        <v/>
      </c>
      <c r="L22" s="2" t="inlineStr">
        <is>
          <t>Gabriele Giannini</t>
        </is>
      </c>
      <c r="M22" s="3" t="n">
        <v>12.22105263157895</v>
      </c>
      <c r="N22" s="4" t="n">
        <v>57</v>
      </c>
      <c r="O22" s="3" t="n">
        <v>21.08109412711183</v>
      </c>
      <c r="P22" s="3" t="n">
        <v>19.08333333333333</v>
      </c>
      <c r="Q22" s="3">
        <f>N22/22</f>
        <v/>
      </c>
      <c r="S22" s="2" t="inlineStr">
        <is>
          <t>Davide Parisi</t>
        </is>
      </c>
      <c r="T22" s="3" t="n">
        <v>18.33</v>
      </c>
      <c r="U22" s="3" t="n">
        <v>18.12502325581395</v>
      </c>
      <c r="V22" s="3" t="n">
        <v>19.54166666666667</v>
      </c>
      <c r="W22" s="4" t="n">
        <v>60</v>
      </c>
      <c r="X22" s="3">
        <f>W22/22</f>
        <v/>
      </c>
    </row>
    <row r="23">
      <c r="E23" s="2" t="inlineStr">
        <is>
          <t>Gianluca Penza</t>
        </is>
      </c>
      <c r="F23" s="3" t="n">
        <v>10.8</v>
      </c>
      <c r="G23" s="4" t="n">
        <v>59</v>
      </c>
      <c r="H23" s="3" t="n">
        <v>14.07386990077178</v>
      </c>
      <c r="I23" s="3" t="n">
        <v>20</v>
      </c>
      <c r="J23" s="3">
        <f>G23/22</f>
        <v/>
      </c>
      <c r="L23" s="2" t="inlineStr">
        <is>
          <t>Gianluca Penza</t>
        </is>
      </c>
      <c r="M23" s="3" t="n">
        <v>12.61935483870968</v>
      </c>
      <c r="N23" s="4" t="n">
        <v>31</v>
      </c>
      <c r="O23" s="3" t="n">
        <v>21.08109412711183</v>
      </c>
      <c r="P23" s="3" t="n">
        <v>19.08333333333333</v>
      </c>
      <c r="Q23" s="3">
        <f>N23/22</f>
        <v/>
      </c>
      <c r="S23" s="2" t="inlineStr">
        <is>
          <t>Daniele Petrellese</t>
        </is>
      </c>
      <c r="T23" s="3" t="n">
        <v>17.98285714285714</v>
      </c>
      <c r="U23" s="3" t="n">
        <v>18.12502325581395</v>
      </c>
      <c r="V23" s="3" t="n">
        <v>19.54166666666667</v>
      </c>
      <c r="W23" s="4" t="n">
        <v>70</v>
      </c>
      <c r="X23" s="3">
        <f>W23/22</f>
        <v/>
      </c>
    </row>
    <row r="24">
      <c r="E24" s="2" t="inlineStr">
        <is>
          <t>Giulia Gnocchi</t>
        </is>
      </c>
      <c r="F24" s="3" t="n">
        <v>4.5</v>
      </c>
      <c r="G24" s="4" t="n">
        <v>2</v>
      </c>
      <c r="H24" s="3" t="n">
        <v>14.07386990077178</v>
      </c>
      <c r="I24" s="3" t="n">
        <v>20</v>
      </c>
      <c r="J24" s="3">
        <f>G24/22</f>
        <v/>
      </c>
      <c r="L24" s="2" t="inlineStr">
        <is>
          <t>Glenda Medola</t>
        </is>
      </c>
      <c r="M24" s="3" t="n">
        <v>20.75454545454545</v>
      </c>
      <c r="N24" s="4" t="n">
        <v>22</v>
      </c>
      <c r="O24" s="3" t="n">
        <v>21.08109412711183</v>
      </c>
      <c r="P24" s="3" t="n">
        <v>19.08333333333333</v>
      </c>
      <c r="Q24" s="3">
        <f>N24/22</f>
        <v/>
      </c>
      <c r="S24" s="2" t="inlineStr">
        <is>
          <t>Francesca Garotta</t>
        </is>
      </c>
      <c r="T24" s="3" t="n">
        <v>17.5</v>
      </c>
      <c r="U24" s="3" t="n">
        <v>18.12502325581395</v>
      </c>
      <c r="V24" s="3" t="n">
        <v>19.54166666666667</v>
      </c>
      <c r="W24" s="4" t="n">
        <v>60</v>
      </c>
      <c r="X24" s="3">
        <f>W24/22</f>
        <v/>
      </c>
    </row>
    <row r="25">
      <c r="E25" s="2" t="inlineStr">
        <is>
          <t>Glenda Medola</t>
        </is>
      </c>
      <c r="F25" s="3" t="n">
        <v>9.76</v>
      </c>
      <c r="G25" s="4" t="n">
        <v>15</v>
      </c>
      <c r="H25" s="3" t="n">
        <v>14.07386990077178</v>
      </c>
      <c r="I25" s="3" t="n">
        <v>20</v>
      </c>
      <c r="J25" s="3">
        <f>G25/22</f>
        <v/>
      </c>
      <c r="L25" s="2" t="inlineStr">
        <is>
          <t>Greta Levati</t>
        </is>
      </c>
      <c r="M25" s="3" t="n">
        <v>19.6</v>
      </c>
      <c r="N25" s="4" t="n">
        <v>18</v>
      </c>
      <c r="O25" s="3" t="n">
        <v>21.08109412711183</v>
      </c>
      <c r="P25" s="3" t="n">
        <v>19.08333333333333</v>
      </c>
      <c r="Q25" s="3">
        <f>N25/22</f>
        <v/>
      </c>
      <c r="S25" s="2" t="inlineStr">
        <is>
          <t>Alessia Gaspardi</t>
        </is>
      </c>
      <c r="T25" s="3" t="n">
        <v>17.44615384615384</v>
      </c>
      <c r="U25" s="3" t="n">
        <v>18.12502325581395</v>
      </c>
      <c r="V25" s="3" t="n">
        <v>19.54166666666667</v>
      </c>
      <c r="W25" s="4" t="n">
        <v>65</v>
      </c>
      <c r="X25" s="3">
        <f>W25/22</f>
        <v/>
      </c>
    </row>
    <row r="26">
      <c r="E26" s="2" t="inlineStr">
        <is>
          <t>Greta Levati</t>
        </is>
      </c>
      <c r="F26" s="3" t="n">
        <v>14.55</v>
      </c>
      <c r="G26" s="4" t="n">
        <v>16</v>
      </c>
      <c r="H26" s="3" t="n">
        <v>14.07386990077178</v>
      </c>
      <c r="I26" s="3" t="n">
        <v>20</v>
      </c>
      <c r="J26" s="3">
        <f>G26/22</f>
        <v/>
      </c>
      <c r="L26" s="2" t="inlineStr">
        <is>
          <t>Kaotar Garaoui</t>
        </is>
      </c>
      <c r="M26" s="3" t="n">
        <v>20.65</v>
      </c>
      <c r="N26" s="4" t="n">
        <v>12</v>
      </c>
      <c r="O26" s="3" t="n">
        <v>21.08109412711183</v>
      </c>
      <c r="P26" s="3" t="n">
        <v>19.08333333333333</v>
      </c>
      <c r="Q26" s="3">
        <f>N26/22</f>
        <v/>
      </c>
      <c r="S26" s="2" t="inlineStr">
        <is>
          <t>Antonella Pedroni</t>
        </is>
      </c>
      <c r="T26" s="3" t="n">
        <v>17.32258064516129</v>
      </c>
      <c r="U26" s="3" t="n">
        <v>18.12502325581395</v>
      </c>
      <c r="V26" s="3" t="n">
        <v>19.54166666666667</v>
      </c>
      <c r="W26" s="4" t="n">
        <v>62</v>
      </c>
      <c r="X26" s="3">
        <f>W26/22</f>
        <v/>
      </c>
    </row>
    <row r="27">
      <c r="E27" s="2" t="inlineStr">
        <is>
          <t>Kaotar Garaoui</t>
        </is>
      </c>
      <c r="F27" s="3" t="n">
        <v>20.04</v>
      </c>
      <c r="G27" s="4" t="n">
        <v>5</v>
      </c>
      <c r="H27" s="3" t="n">
        <v>14.07386990077178</v>
      </c>
      <c r="I27" s="3" t="n">
        <v>20</v>
      </c>
      <c r="J27" s="3">
        <f>G27/22</f>
        <v/>
      </c>
      <c r="L27" s="2" t="inlineStr">
        <is>
          <t>Lorenzo Barbieri</t>
        </is>
      </c>
      <c r="M27" s="3" t="n">
        <v>21.80377358490566</v>
      </c>
      <c r="N27" s="4" t="n">
        <v>53</v>
      </c>
      <c r="O27" s="3" t="n">
        <v>21.08109412711183</v>
      </c>
      <c r="P27" s="3" t="n">
        <v>19.08333333333333</v>
      </c>
      <c r="Q27" s="3">
        <f>N27/22</f>
        <v/>
      </c>
      <c r="S27" s="2" t="inlineStr">
        <is>
          <t>Greta Levati</t>
        </is>
      </c>
      <c r="T27" s="3" t="n">
        <v>17.2235294117647</v>
      </c>
      <c r="U27" s="3" t="n">
        <v>18.12502325581395</v>
      </c>
      <c r="V27" s="3" t="n">
        <v>19.54166666666667</v>
      </c>
      <c r="W27" s="4" t="n">
        <v>34</v>
      </c>
      <c r="X27" s="3">
        <f>W27/22</f>
        <v/>
      </c>
    </row>
    <row r="28">
      <c r="E28" s="2" t="inlineStr">
        <is>
          <t>Lorenzo Barbieri</t>
        </is>
      </c>
      <c r="F28" s="3" t="n">
        <v>15.73714285714286</v>
      </c>
      <c r="G28" s="4" t="n">
        <v>35</v>
      </c>
      <c r="H28" s="3" t="n">
        <v>14.07386990077178</v>
      </c>
      <c r="I28" s="3" t="n">
        <v>20</v>
      </c>
      <c r="J28" s="3">
        <f>G28/22</f>
        <v/>
      </c>
      <c r="L28" s="2" t="inlineStr">
        <is>
          <t>Lucia Serafini</t>
        </is>
      </c>
      <c r="M28" s="3" t="n">
        <v>21.41818181818182</v>
      </c>
      <c r="N28" s="4" t="n">
        <v>33</v>
      </c>
      <c r="O28" s="3" t="n">
        <v>21.08109412711183</v>
      </c>
      <c r="P28" s="3" t="n">
        <v>19.08333333333333</v>
      </c>
      <c r="Q28" s="3">
        <f>N28/22</f>
        <v/>
      </c>
      <c r="S28" s="2" t="inlineStr">
        <is>
          <t>Martina Pace</t>
        </is>
      </c>
      <c r="T28" s="3" t="n">
        <v>17.208</v>
      </c>
      <c r="U28" s="3" t="n">
        <v>18.12502325581395</v>
      </c>
      <c r="V28" s="3" t="n">
        <v>19.54166666666667</v>
      </c>
      <c r="W28" s="4" t="n">
        <v>25</v>
      </c>
      <c r="X28" s="3">
        <f>W28/22</f>
        <v/>
      </c>
    </row>
    <row r="29">
      <c r="E29" s="2" t="inlineStr">
        <is>
          <t>Lucia Serafini</t>
        </is>
      </c>
      <c r="F29" s="3" t="n">
        <v>13.33846153846154</v>
      </c>
      <c r="G29" s="4" t="n">
        <v>13</v>
      </c>
      <c r="H29" s="3" t="n">
        <v>14.07386990077178</v>
      </c>
      <c r="I29" s="3" t="n">
        <v>20</v>
      </c>
      <c r="J29" s="3">
        <f>G29/22</f>
        <v/>
      </c>
      <c r="L29" s="2" t="inlineStr">
        <is>
          <t>Martina Pace</t>
        </is>
      </c>
      <c r="M29" s="3" t="n">
        <v>18.73846153846154</v>
      </c>
      <c r="N29" s="4" t="n">
        <v>13</v>
      </c>
      <c r="O29" s="3" t="n">
        <v>21.08109412711183</v>
      </c>
      <c r="P29" s="3" t="n">
        <v>19.08333333333333</v>
      </c>
      <c r="Q29" s="3">
        <f>N29/22</f>
        <v/>
      </c>
      <c r="S29" s="2" t="inlineStr">
        <is>
          <t>Glenda Medola</t>
        </is>
      </c>
      <c r="T29" s="3" t="n">
        <v>16.2972972972973</v>
      </c>
      <c r="U29" s="3" t="n">
        <v>18.12502325581395</v>
      </c>
      <c r="V29" s="3" t="n">
        <v>19.54166666666667</v>
      </c>
      <c r="W29" s="4" t="n">
        <v>37</v>
      </c>
      <c r="X29" s="3">
        <f>W29/22</f>
        <v/>
      </c>
    </row>
    <row r="30">
      <c r="E30" s="2" t="inlineStr">
        <is>
          <t>Martina Pace</t>
        </is>
      </c>
      <c r="F30" s="3" t="n">
        <v>15.55</v>
      </c>
      <c r="G30" s="4" t="n">
        <v>12</v>
      </c>
      <c r="H30" s="3" t="n">
        <v>14.07386990077178</v>
      </c>
      <c r="I30" s="3" t="n">
        <v>20</v>
      </c>
      <c r="J30" s="3">
        <f>G30/22</f>
        <v/>
      </c>
      <c r="L30" s="2" t="inlineStr">
        <is>
          <t>Matteo Perrone</t>
        </is>
      </c>
      <c r="M30" s="3" t="n">
        <v>21.09</v>
      </c>
      <c r="N30" s="4" t="n">
        <v>40</v>
      </c>
      <c r="O30" s="3" t="n">
        <v>21.08109412711183</v>
      </c>
      <c r="P30" s="3" t="n">
        <v>19.08333333333333</v>
      </c>
      <c r="Q30" s="3">
        <f>N30/22</f>
        <v/>
      </c>
      <c r="S30" s="2" t="inlineStr">
        <is>
          <t>Beatrice Binotto</t>
        </is>
      </c>
      <c r="T30" s="3" t="n">
        <v>16.06153846153846</v>
      </c>
      <c r="U30" s="3" t="n">
        <v>18.12502325581395</v>
      </c>
      <c r="V30" s="3" t="n">
        <v>19.54166666666667</v>
      </c>
      <c r="W30" s="4" t="n">
        <v>78</v>
      </c>
      <c r="X30" s="3">
        <f>W30/22</f>
        <v/>
      </c>
    </row>
    <row r="31">
      <c r="E31" s="2" t="inlineStr">
        <is>
          <t>Matteo Perrone</t>
        </is>
      </c>
      <c r="F31" s="3" t="n">
        <v>21.7</v>
      </c>
      <c r="G31" s="4" t="n">
        <v>12</v>
      </c>
      <c r="H31" s="3" t="n">
        <v>14.07386990077178</v>
      </c>
      <c r="I31" s="3" t="n">
        <v>20</v>
      </c>
      <c r="J31" s="3">
        <f>G31/22</f>
        <v/>
      </c>
      <c r="L31" s="2" t="inlineStr">
        <is>
          <t>Matteo Valzasina</t>
        </is>
      </c>
      <c r="M31" s="3" t="n">
        <v>21.04</v>
      </c>
      <c r="N31" s="4" t="n">
        <v>30</v>
      </c>
      <c r="O31" s="3" t="n">
        <v>21.08109412711183</v>
      </c>
      <c r="P31" s="3" t="n">
        <v>19.08333333333333</v>
      </c>
      <c r="Q31" s="3">
        <f>N31/22</f>
        <v/>
      </c>
      <c r="S31" s="2" t="inlineStr">
        <is>
          <t>Nicolo Pedicini</t>
        </is>
      </c>
      <c r="T31" s="3" t="n">
        <v>15.309375</v>
      </c>
      <c r="U31" s="3" t="n">
        <v>18.12502325581395</v>
      </c>
      <c r="V31" s="3" t="n">
        <v>19.54166666666667</v>
      </c>
      <c r="W31" s="4" t="n">
        <v>64</v>
      </c>
      <c r="X31" s="3">
        <f>W31/22</f>
        <v/>
      </c>
    </row>
    <row r="32">
      <c r="E32" s="2" t="inlineStr">
        <is>
          <t>Matteo Valzasina</t>
        </is>
      </c>
      <c r="F32" s="3" t="n">
        <v>20.34</v>
      </c>
      <c r="G32" s="4" t="n">
        <v>20</v>
      </c>
      <c r="H32" s="3" t="n">
        <v>14.07386990077178</v>
      </c>
      <c r="I32" s="3" t="n">
        <v>20</v>
      </c>
      <c r="J32" s="3">
        <f>G32/22</f>
        <v/>
      </c>
      <c r="L32" s="2" t="inlineStr">
        <is>
          <t>Miriam De Pasquale</t>
        </is>
      </c>
      <c r="M32" s="3" t="n">
        <v>64.575</v>
      </c>
      <c r="N32" s="4" t="n">
        <v>8</v>
      </c>
      <c r="O32" s="3" t="n">
        <v>21.08109412711183</v>
      </c>
      <c r="P32" s="3" t="n">
        <v>19.08333333333333</v>
      </c>
      <c r="Q32" s="3">
        <f>N32/22</f>
        <v/>
      </c>
      <c r="S32" s="2" t="inlineStr">
        <is>
          <t>Antonio Commisso</t>
        </is>
      </c>
      <c r="T32" s="3" t="n">
        <v>14.68378378378379</v>
      </c>
      <c r="U32" s="3" t="n">
        <v>18.12502325581395</v>
      </c>
      <c r="V32" s="3" t="n">
        <v>19.54166666666667</v>
      </c>
      <c r="W32" s="4" t="n">
        <v>74</v>
      </c>
      <c r="X32" s="3">
        <f>W32/22</f>
        <v/>
      </c>
    </row>
    <row r="33">
      <c r="E33" s="2" t="inlineStr">
        <is>
          <t>Miriam De Pasquale</t>
        </is>
      </c>
      <c r="F33" s="3" t="n">
        <v>33.66666666666666</v>
      </c>
      <c r="G33" s="4" t="n">
        <v>9</v>
      </c>
      <c r="H33" s="3" t="n">
        <v>14.07386990077178</v>
      </c>
      <c r="I33" s="3" t="n">
        <v>20</v>
      </c>
      <c r="J33" s="3">
        <f>G33/22</f>
        <v/>
      </c>
      <c r="L33" s="2" t="inlineStr">
        <is>
          <t>Nicolo Pedicini</t>
        </is>
      </c>
      <c r="M33" s="3" t="n">
        <v>27.87857142857143</v>
      </c>
      <c r="N33" s="4" t="n">
        <v>28</v>
      </c>
      <c r="O33" s="3" t="n">
        <v>21.08109412711183</v>
      </c>
      <c r="P33" s="3" t="n">
        <v>19.08333333333333</v>
      </c>
      <c r="Q33" s="3">
        <f>N33/22</f>
        <v/>
      </c>
      <c r="S33" s="2" t="inlineStr">
        <is>
          <t>Nora Ed Dahir</t>
        </is>
      </c>
      <c r="T33" s="3" t="n">
        <v>14.24285714285714</v>
      </c>
      <c r="U33" s="3" t="n">
        <v>18.12502325581395</v>
      </c>
      <c r="V33" s="3" t="n">
        <v>19.54166666666667</v>
      </c>
      <c r="W33" s="4" t="n">
        <v>84</v>
      </c>
      <c r="X33" s="3">
        <f>W33/22</f>
        <v/>
      </c>
    </row>
    <row r="34">
      <c r="E34" s="2" t="inlineStr">
        <is>
          <t>Nicolo Pedicini</t>
        </is>
      </c>
      <c r="F34" s="3" t="n">
        <v>5.533333333333332</v>
      </c>
      <c r="G34" s="4" t="n">
        <v>36</v>
      </c>
      <c r="H34" s="3" t="n">
        <v>14.07386990077178</v>
      </c>
      <c r="I34" s="3" t="n">
        <v>20</v>
      </c>
      <c r="J34" s="3">
        <f>G34/22</f>
        <v/>
      </c>
      <c r="L34" s="2" t="inlineStr">
        <is>
          <t>Nora Ed Dahir</t>
        </is>
      </c>
      <c r="M34" s="3" t="n">
        <v>18.16363636363637</v>
      </c>
      <c r="N34" s="4" t="n">
        <v>33</v>
      </c>
      <c r="O34" s="3" t="n">
        <v>21.08109412711183</v>
      </c>
      <c r="P34" s="3" t="n">
        <v>19.08333333333333</v>
      </c>
      <c r="Q34" s="3">
        <f>N34/22</f>
        <v/>
      </c>
      <c r="S34" s="2" t="inlineStr">
        <is>
          <t>Alessandro Passariello</t>
        </is>
      </c>
      <c r="T34" s="3" t="n">
        <v>14.2076923076923</v>
      </c>
      <c r="U34" s="3" t="n">
        <v>18.12502325581395</v>
      </c>
      <c r="V34" s="3" t="n">
        <v>19.54166666666667</v>
      </c>
      <c r="W34" s="4" t="n">
        <v>78</v>
      </c>
      <c r="X34" s="3">
        <f>W34/22</f>
        <v/>
      </c>
    </row>
    <row r="35">
      <c r="E35" s="2" t="inlineStr">
        <is>
          <t>Nora Ed Dahir</t>
        </is>
      </c>
      <c r="F35" s="3" t="n">
        <v>11.70588235294118</v>
      </c>
      <c r="G35" s="4" t="n">
        <v>51</v>
      </c>
      <c r="H35" s="3" t="n">
        <v>14.07386990077178</v>
      </c>
      <c r="I35" s="3" t="n">
        <v>20</v>
      </c>
      <c r="J35" s="3">
        <f>G35/22</f>
        <v/>
      </c>
      <c r="L35" s="2" t="inlineStr">
        <is>
          <t>Penda Diop</t>
        </is>
      </c>
      <c r="M35" s="3" t="n">
        <v>22.54909090909091</v>
      </c>
      <c r="N35" s="4" t="n">
        <v>55</v>
      </c>
      <c r="O35" s="3" t="n">
        <v>21.08109412711183</v>
      </c>
      <c r="P35" s="3" t="n">
        <v>19.08333333333333</v>
      </c>
      <c r="Q35" s="3">
        <f>N35/22</f>
        <v/>
      </c>
      <c r="S35" s="2" t="inlineStr">
        <is>
          <t>Sabrina Xeka</t>
        </is>
      </c>
      <c r="T35" s="3" t="n">
        <v>13.57058823529412</v>
      </c>
      <c r="U35" s="3" t="n">
        <v>18.12502325581395</v>
      </c>
      <c r="V35" s="3" t="n">
        <v>19.54166666666667</v>
      </c>
      <c r="W35" s="4" t="n">
        <v>68</v>
      </c>
      <c r="X35" s="3">
        <f>W35/22</f>
        <v/>
      </c>
    </row>
    <row r="36">
      <c r="E36" s="2" t="inlineStr">
        <is>
          <t>Penda Diop</t>
        </is>
      </c>
      <c r="F36" s="3" t="n">
        <v>15.76</v>
      </c>
      <c r="G36" s="4" t="n">
        <v>15</v>
      </c>
      <c r="H36" s="3" t="n">
        <v>14.07386990077178</v>
      </c>
      <c r="I36" s="3" t="n">
        <v>20</v>
      </c>
      <c r="J36" s="3">
        <f>G36/22</f>
        <v/>
      </c>
      <c r="L36" s="2" t="inlineStr">
        <is>
          <t>Sabrina Xeka</t>
        </is>
      </c>
      <c r="M36" s="3" t="n">
        <v>17.98125</v>
      </c>
      <c r="N36" s="4" t="n">
        <v>32</v>
      </c>
      <c r="O36" s="3" t="n">
        <v>21.08109412711183</v>
      </c>
      <c r="P36" s="3" t="n">
        <v>19.08333333333333</v>
      </c>
      <c r="Q36" s="3">
        <f>N36/22</f>
        <v/>
      </c>
      <c r="S36" s="2" t="inlineStr">
        <is>
          <t>Daniela Sandrini</t>
        </is>
      </c>
      <c r="T36" s="3" t="n">
        <v>13.19318181818182</v>
      </c>
      <c r="U36" s="3" t="n">
        <v>18.12502325581395</v>
      </c>
      <c r="V36" s="3" t="n">
        <v>19.54166666666667</v>
      </c>
      <c r="W36" s="4" t="n">
        <v>88</v>
      </c>
      <c r="X36" s="3">
        <f>W36/22</f>
        <v/>
      </c>
    </row>
    <row r="37">
      <c r="E37" s="2" t="inlineStr">
        <is>
          <t>Sabrina Xeka</t>
        </is>
      </c>
      <c r="F37" s="3" t="n">
        <v>9.65</v>
      </c>
      <c r="G37" s="4" t="n">
        <v>36</v>
      </c>
      <c r="H37" s="3" t="n">
        <v>14.07386990077178</v>
      </c>
      <c r="I37" s="3" t="n">
        <v>20</v>
      </c>
      <c r="J37" s="3">
        <f>G37/22</f>
        <v/>
      </c>
      <c r="L37" s="2" t="inlineStr">
        <is>
          <t>Samuele Naldi</t>
        </is>
      </c>
      <c r="M37" s="3" t="n">
        <v>32.53846153846154</v>
      </c>
      <c r="N37" s="4" t="n">
        <v>26</v>
      </c>
      <c r="O37" s="3" t="n">
        <v>21.08109412711183</v>
      </c>
      <c r="P37" s="3" t="n">
        <v>19.08333333333333</v>
      </c>
      <c r="Q37" s="3">
        <f>N37/22</f>
        <v/>
      </c>
      <c r="S37" s="2" t="inlineStr">
        <is>
          <t>Gabriele Giannini</t>
        </is>
      </c>
      <c r="T37" s="3" t="n">
        <v>12.82826086956522</v>
      </c>
      <c r="U37" s="3" t="n">
        <v>18.12502325581395</v>
      </c>
      <c r="V37" s="3" t="n">
        <v>19.54166666666667</v>
      </c>
      <c r="W37" s="4" t="n">
        <v>92</v>
      </c>
      <c r="X37" s="3">
        <f>W37/22</f>
        <v/>
      </c>
    </row>
    <row r="38">
      <c r="E38" s="2" t="inlineStr">
        <is>
          <t>Samuele Naldi</t>
        </is>
      </c>
      <c r="F38" s="3" t="n">
        <v>32.65714285714286</v>
      </c>
      <c r="G38" s="4" t="n">
        <v>7</v>
      </c>
      <c r="H38" s="3" t="n">
        <v>14.07386990077178</v>
      </c>
      <c r="I38" s="3" t="n">
        <v>20</v>
      </c>
      <c r="J38" s="3">
        <f>G38/22</f>
        <v/>
      </c>
      <c r="L38" s="2" t="inlineStr">
        <is>
          <t>Simone Pia</t>
        </is>
      </c>
      <c r="M38" s="3" t="n">
        <v>22.77857142857143</v>
      </c>
      <c r="N38" s="4" t="n">
        <v>28</v>
      </c>
      <c r="O38" s="3" t="n">
        <v>21.08109412711183</v>
      </c>
      <c r="P38" s="3" t="n">
        <v>19.08333333333333</v>
      </c>
      <c r="Q38" s="3">
        <f>N38/22</f>
        <v/>
      </c>
      <c r="S38" s="2" t="inlineStr">
        <is>
          <t>Ahmed Afifi</t>
        </is>
      </c>
      <c r="T38" s="3" t="n">
        <v>11.93023255813953</v>
      </c>
      <c r="U38" s="3" t="n">
        <v>18.12502325581395</v>
      </c>
      <c r="V38" s="3" t="n">
        <v>19.54166666666667</v>
      </c>
      <c r="W38" s="4" t="n">
        <v>43</v>
      </c>
      <c r="X38" s="3">
        <f>W38/22</f>
        <v/>
      </c>
    </row>
    <row r="39">
      <c r="E39" s="2" t="inlineStr">
        <is>
          <t>Simone Pia</t>
        </is>
      </c>
      <c r="F39" s="3" t="n">
        <v>14.82857142857143</v>
      </c>
      <c r="G39" s="4" t="n">
        <v>7</v>
      </c>
      <c r="H39" s="3" t="n">
        <v>14.07386990077178</v>
      </c>
      <c r="I39" s="3" t="n">
        <v>20</v>
      </c>
      <c r="J39" s="3">
        <f>G39/22</f>
        <v/>
      </c>
      <c r="L39" s="2" t="inlineStr">
        <is>
          <t>Stefano Marchini</t>
        </is>
      </c>
      <c r="M39" s="3" t="n">
        <v>18.70909090909091</v>
      </c>
      <c r="N39" s="4" t="n">
        <v>33</v>
      </c>
      <c r="O39" s="3" t="n">
        <v>21.08109412711183</v>
      </c>
      <c r="P39" s="3" t="n">
        <v>19.08333333333333</v>
      </c>
      <c r="Q39" s="3">
        <f>N39/22</f>
        <v/>
      </c>
      <c r="S39" s="2" t="inlineStr">
        <is>
          <t>Gianluca Penza</t>
        </is>
      </c>
      <c r="T39" s="3" t="n">
        <v>11.42666666666667</v>
      </c>
      <c r="U39" s="3" t="n">
        <v>18.12502325581395</v>
      </c>
      <c r="V39" s="3" t="n">
        <v>19.54166666666667</v>
      </c>
      <c r="W39" s="4" t="n">
        <v>90</v>
      </c>
      <c r="X39" s="3">
        <f>W39/22</f>
        <v/>
      </c>
    </row>
    <row r="40">
      <c r="E40" s="2" t="inlineStr">
        <is>
          <t>Stefano Marchini</t>
        </is>
      </c>
      <c r="F40" s="3" t="n">
        <v>18</v>
      </c>
      <c r="G40" s="4" t="n">
        <v>18</v>
      </c>
      <c r="H40" s="3" t="n">
        <v>14.07386990077178</v>
      </c>
      <c r="I40" s="3" t="n">
        <v>20</v>
      </c>
      <c r="J40" s="3">
        <f>G40/22</f>
        <v/>
      </c>
      <c r="L40" s="2" t="inlineStr">
        <is>
          <t>Valentina Rozza</t>
        </is>
      </c>
      <c r="M40" s="3" t="n">
        <v>25.93548387096774</v>
      </c>
      <c r="N40" s="4" t="n">
        <v>31</v>
      </c>
      <c r="O40" s="3" t="n">
        <v>21.08109412711183</v>
      </c>
      <c r="P40" s="3" t="n">
        <v>19.08333333333333</v>
      </c>
      <c r="Q40" s="3">
        <f>N40/22</f>
        <v/>
      </c>
      <c r="S40" s="2" t="inlineStr">
        <is>
          <t>Eleonora Sissa</t>
        </is>
      </c>
      <c r="T40" s="3" t="n">
        <v>10.5552</v>
      </c>
      <c r="U40" s="3" t="n">
        <v>18.12502325581395</v>
      </c>
      <c r="V40" s="3" t="n">
        <v>19.54166666666667</v>
      </c>
      <c r="W40" s="4" t="n">
        <v>125</v>
      </c>
      <c r="X40" s="3">
        <f>W40/22</f>
        <v/>
      </c>
    </row>
    <row r="41">
      <c r="E41" s="2" t="inlineStr">
        <is>
          <t>Valentina Rozza</t>
        </is>
      </c>
      <c r="F41" s="3" t="n">
        <v>21.02857142857143</v>
      </c>
      <c r="G41" s="4" t="n">
        <v>21</v>
      </c>
      <c r="H41" s="3" t="n">
        <v>14.07386990077178</v>
      </c>
      <c r="I41" s="3" t="n">
        <v>20</v>
      </c>
      <c r="J41" s="3">
        <f>G41/22</f>
        <v/>
      </c>
      <c r="L41" s="2" t="inlineStr">
        <is>
          <t>Viktoriia Lavrinets</t>
        </is>
      </c>
      <c r="M41" s="3" t="n">
        <v>37.66285714285714</v>
      </c>
      <c r="N41" s="4" t="n">
        <v>35</v>
      </c>
      <c r="O41" s="3" t="n">
        <v>21.08109412711183</v>
      </c>
      <c r="P41" s="3" t="n">
        <v>19.08333333333333</v>
      </c>
      <c r="Q41" s="3">
        <f>N41/22</f>
        <v/>
      </c>
      <c r="S41" s="2" t="inlineStr">
        <is>
          <t>Eros Allonato</t>
        </is>
      </c>
      <c r="T41" s="3" t="n">
        <v>9.952173913043479</v>
      </c>
      <c r="U41" s="3" t="n">
        <v>18.12502325581395</v>
      </c>
      <c r="V41" s="3" t="n">
        <v>19.54166666666667</v>
      </c>
      <c r="W41" s="4" t="n">
        <v>46</v>
      </c>
      <c r="X41" s="3">
        <f>W41/22</f>
        <v/>
      </c>
    </row>
    <row r="42" ht="15.75" customHeight="1">
      <c r="E42" s="2" t="inlineStr">
        <is>
          <t>Viktoriia Lavrinets</t>
        </is>
      </c>
      <c r="F42" s="3" t="n">
        <v>41.0625</v>
      </c>
      <c r="G42" s="4" t="n">
        <v>16</v>
      </c>
      <c r="H42" s="3" t="n">
        <v>14.07386990077178</v>
      </c>
      <c r="I42" s="3" t="n">
        <v>20</v>
      </c>
      <c r="J42" s="3">
        <f>G42/22</f>
        <v/>
      </c>
      <c r="S42" s="2" t="inlineStr">
        <is>
          <t>Giulia Gnocchi</t>
        </is>
      </c>
      <c r="T42" s="3" t="n">
        <v>4.5</v>
      </c>
      <c r="U42" s="3" t="n">
        <v>18.12502325581395</v>
      </c>
      <c r="V42" s="3" t="n">
        <v>19.54166666666667</v>
      </c>
      <c r="W42" s="4" t="n">
        <v>2</v>
      </c>
      <c r="X42" s="3">
        <f>W42/22</f>
        <v/>
      </c>
    </row>
  </sheetData>
  <mergeCells count="3">
    <mergeCell ref="S3:X3"/>
    <mergeCell ref="E3:J3"/>
    <mergeCell ref="L3:Q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2026-06-20T06:00:26Z</dcterms:created>
  <dcterms:modified xsi:type="dcterms:W3CDTF">2026-06-20T06:00:26Z</dcterms:modified>
</cp:coreProperties>
</file>