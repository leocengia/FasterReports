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L:\Admin\Individuali\Leonardo\QBR-MBR\"/>
    </mc:Choice>
  </mc:AlternateContent>
  <xr:revisionPtr revIDLastSave="0" documentId="13_ncr:1_{11E04C34-1B8B-47D6-B743-5E53CEDA805C}" xr6:coauthVersionLast="47" xr6:coauthVersionMax="47" xr10:uidLastSave="{00000000-0000-0000-0000-000000000000}"/>
  <bookViews>
    <workbookView xWindow="-120" yWindow="-120" windowWidth="29040" windowHeight="16440" xr2:uid="{A8A81576-ED2B-4BC2-ABDB-70922D823B42}"/>
  </bookViews>
  <sheets>
    <sheet name="Agent Perform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2" l="1"/>
  <c r="Q5" i="2"/>
  <c r="X5" i="2"/>
  <c r="X6" i="2"/>
  <c r="J6" i="2"/>
  <c r="Q6" i="2"/>
  <c r="X7" i="2"/>
  <c r="J7" i="2"/>
  <c r="Q7" i="2"/>
  <c r="X8" i="2"/>
  <c r="J8" i="2"/>
  <c r="Q8" i="2"/>
  <c r="X9" i="2"/>
  <c r="J9" i="2"/>
  <c r="Q9" i="2"/>
  <c r="X10" i="2"/>
  <c r="J10" i="2"/>
  <c r="Q10" i="2"/>
  <c r="X11" i="2"/>
  <c r="J11" i="2"/>
  <c r="Q11" i="2"/>
  <c r="X12" i="2"/>
  <c r="J12" i="2"/>
  <c r="Q12" i="2"/>
  <c r="X13" i="2"/>
  <c r="J13" i="2"/>
  <c r="Q13" i="2"/>
  <c r="X14" i="2"/>
  <c r="J14" i="2"/>
  <c r="Q14" i="2"/>
  <c r="X15" i="2"/>
  <c r="J15" i="2"/>
  <c r="Q15" i="2"/>
  <c r="X16" i="2"/>
  <c r="J16" i="2"/>
  <c r="Q16" i="2"/>
  <c r="X17" i="2"/>
  <c r="J17" i="2"/>
  <c r="Q17" i="2"/>
  <c r="X18" i="2"/>
  <c r="J18" i="2"/>
  <c r="X19" i="2"/>
  <c r="J19" i="2"/>
  <c r="Q18" i="2"/>
  <c r="X20" i="2"/>
  <c r="J20" i="2"/>
  <c r="Q19" i="2"/>
  <c r="X21" i="2"/>
  <c r="J21" i="2"/>
  <c r="Q20" i="2"/>
  <c r="X22" i="2"/>
  <c r="J22" i="2"/>
  <c r="Q21" i="2"/>
  <c r="X23" i="2"/>
  <c r="J23" i="2"/>
  <c r="Q22" i="2"/>
  <c r="X24" i="2"/>
  <c r="J24" i="2"/>
  <c r="Q23" i="2"/>
  <c r="X25" i="2"/>
  <c r="J25" i="2"/>
  <c r="Q24" i="2"/>
  <c r="X26" i="2"/>
  <c r="J26" i="2"/>
  <c r="Q25" i="2"/>
  <c r="X27" i="2"/>
  <c r="J27" i="2"/>
  <c r="Q26" i="2"/>
  <c r="X28" i="2"/>
  <c r="Q27" i="2"/>
  <c r="X29" i="2"/>
  <c r="J28" i="2"/>
  <c r="X30" i="2"/>
  <c r="J29" i="2"/>
  <c r="Q28" i="2"/>
  <c r="X31" i="2"/>
  <c r="J30" i="2"/>
  <c r="Q29" i="2"/>
  <c r="X32" i="2"/>
  <c r="J31" i="2"/>
  <c r="Q30" i="2"/>
  <c r="X33" i="2"/>
  <c r="J32" i="2"/>
  <c r="Q31" i="2"/>
  <c r="X34" i="2"/>
  <c r="J33" i="2"/>
  <c r="Q32" i="2"/>
  <c r="X35" i="2"/>
  <c r="J34" i="2"/>
  <c r="Q33" i="2"/>
  <c r="X36" i="2"/>
  <c r="J35" i="2"/>
  <c r="Q34" i="2"/>
  <c r="X37" i="2"/>
  <c r="J36" i="2"/>
  <c r="Q35" i="2"/>
  <c r="J37" i="2"/>
  <c r="Q36" i="2"/>
  <c r="X38" i="2"/>
  <c r="J38" i="2"/>
  <c r="Q37" i="2"/>
  <c r="X39" i="2"/>
  <c r="J39" i="2"/>
  <c r="Q38" i="2"/>
  <c r="X40" i="2"/>
  <c r="J40" i="2"/>
  <c r="Q39" i="2"/>
  <c r="X41" i="2"/>
  <c r="J41" i="2"/>
  <c r="Q40" i="2"/>
  <c r="X42" i="2"/>
  <c r="J42" i="2"/>
  <c r="Q41" i="2"/>
  <c r="X43" i="2"/>
  <c r="J43" i="2"/>
  <c r="Q42" i="2"/>
  <c r="X44" i="2"/>
  <c r="J44" i="2"/>
  <c r="Q43" i="2"/>
  <c r="X45" i="2"/>
  <c r="J45" i="2"/>
  <c r="Q44" i="2"/>
  <c r="Q45" i="2"/>
</calcChain>
</file>

<file path=xl/sharedStrings.xml><?xml version="1.0" encoding="utf-8"?>
<sst xmlns="http://schemas.openxmlformats.org/spreadsheetml/2006/main" count="145" uniqueCount="52">
  <si>
    <t>Wissal Fadli</t>
  </si>
  <si>
    <t>Eleonora Sissa</t>
  </si>
  <si>
    <t>Viktoriia Lavrinets</t>
  </si>
  <si>
    <t>Glenda Medola</t>
  </si>
  <si>
    <t>Valentina Rozza</t>
  </si>
  <si>
    <t>Eros Allonato</t>
  </si>
  <si>
    <t>Stefano Marchini</t>
  </si>
  <si>
    <t>Giulia Gnocchi</t>
  </si>
  <si>
    <t>Simone Pia</t>
  </si>
  <si>
    <t>Sabrina Xeka</t>
  </si>
  <si>
    <t>Samuele Naldi</t>
  </si>
  <si>
    <t>Beatrice Binotto</t>
  </si>
  <si>
    <t>Lucia Serafini</t>
  </si>
  <si>
    <t>Penda Diop</t>
  </si>
  <si>
    <t>Gianluca Penza</t>
  </si>
  <si>
    <t>Nora Ed Dahir</t>
  </si>
  <si>
    <t>Nicolo Pedicini</t>
  </si>
  <si>
    <t>Nicolas  Raigoso</t>
  </si>
  <si>
    <t>Ahmed Afifi</t>
  </si>
  <si>
    <t>Nadiia Ariefieva</t>
  </si>
  <si>
    <t>Gabriele Giannini</t>
  </si>
  <si>
    <t>Miriam De Pasquale</t>
  </si>
  <si>
    <t>Daniela Sandrini</t>
  </si>
  <si>
    <t>Matteo Valzasina</t>
  </si>
  <si>
    <t>Matteo Perrone</t>
  </si>
  <si>
    <t>Daniele Petrellese</t>
  </si>
  <si>
    <t>Martina Pace</t>
  </si>
  <si>
    <t>Lorenzo Barbieri</t>
  </si>
  <si>
    <t>Francesca Garotta</t>
  </si>
  <si>
    <t>Antonio Commisso</t>
  </si>
  <si>
    <t>Kaotar Garaoui</t>
  </si>
  <si>
    <t>Greta Levati</t>
  </si>
  <si>
    <t>Alessia Gaspardi</t>
  </si>
  <si>
    <t>Alice Di Pace</t>
  </si>
  <si>
    <t>Alessandro Passariello</t>
  </si>
  <si>
    <t>Francesco Carnevali</t>
  </si>
  <si>
    <t>Davide Parisi</t>
  </si>
  <si>
    <t>Alice Galbussera</t>
  </si>
  <si>
    <t>Antonella Pedroni</t>
  </si>
  <si>
    <t>Asia Chirullo</t>
  </si>
  <si>
    <t>Ambra Ramella</t>
  </si>
  <si>
    <t>avg_daily_vol</t>
  </si>
  <si>
    <t>monthly_vol</t>
  </si>
  <si>
    <t>target</t>
  </si>
  <si>
    <t>team_avg</t>
  </si>
  <si>
    <t>aht</t>
  </si>
  <si>
    <t>Agent</t>
  </si>
  <si>
    <t>volume</t>
  </si>
  <si>
    <t>Blended</t>
  </si>
  <si>
    <t>Phone</t>
  </si>
  <si>
    <t>Non-live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</si>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</sst>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3" xfId="0" applyBorder="1" applyAlignment="1">
      <alignment horizontal="left"/>
    </xf>
    <xf numFmtId="2" fontId="0" fillId="0" borderId="2" xfId="0" applyNumberFormat="1" applyBorder="1"/>
    <xf numFmtId="0" fontId="0" fillId="0" borderId="6" xfId="0" applyBorder="1" applyAlignment="1">
      <alignment horizontal="left"/>
    </xf>
    <xf numFmtId="2" fontId="0" fillId="0" borderId="5" xfId="0" applyNumberFormat="1" applyBorder="1"/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/>
    <xf numFmtId="0" fontId="0" fillId="0" borderId="9" xfId="0" applyBorder="1"/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1" fillId="3" borderId="1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/>
              <a:t>Blended Agent KPI insights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'Agent Performance'!$T$4</c:f>
              <c:strCache>
                <c:ptCount val="1"/>
                <c:pt idx="0">
                  <c:v>aht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'Agent Performance'!$S$5:$S$45</c:f>
              <c:strCache>
                <c:ptCount val="41"/>
                <c:pt idx="0">
                  <c:v>Miriam De Pasquale</c:v>
                </c:pt>
                <c:pt idx="1">
                  <c:v>Viktoriia Lavrinets</c:v>
                </c:pt>
                <c:pt idx="2">
                  <c:v>Francesco Carnevali</c:v>
                </c:pt>
                <c:pt idx="3">
                  <c:v>Greta Levati</c:v>
                </c:pt>
                <c:pt idx="4">
                  <c:v>Asia Chirullo</c:v>
                </c:pt>
                <c:pt idx="5">
                  <c:v>Ambra Ramella</c:v>
                </c:pt>
                <c:pt idx="6">
                  <c:v>Matteo Perrone</c:v>
                </c:pt>
                <c:pt idx="7">
                  <c:v>Samuele Naldi</c:v>
                </c:pt>
                <c:pt idx="8">
                  <c:v>Kaotar Garaoui</c:v>
                </c:pt>
                <c:pt idx="9">
                  <c:v>Antonella Pedroni</c:v>
                </c:pt>
                <c:pt idx="10">
                  <c:v>Matteo Valzasina</c:v>
                </c:pt>
                <c:pt idx="11">
                  <c:v>Valentina Rozza</c:v>
                </c:pt>
                <c:pt idx="12">
                  <c:v>Wissal Fadli</c:v>
                </c:pt>
                <c:pt idx="13">
                  <c:v>Nadiia Ariefieva</c:v>
                </c:pt>
                <c:pt idx="14">
                  <c:v>Alice Galbussera</c:v>
                </c:pt>
                <c:pt idx="15">
                  <c:v>Nicolas  Raigoso</c:v>
                </c:pt>
                <c:pt idx="16">
                  <c:v>Lorenzo Barbieri</c:v>
                </c:pt>
                <c:pt idx="17">
                  <c:v>Davide Parisi</c:v>
                </c:pt>
                <c:pt idx="18">
                  <c:v>Alessandro Passariello</c:v>
                </c:pt>
                <c:pt idx="19">
                  <c:v>Alice Di Pace</c:v>
                </c:pt>
                <c:pt idx="20">
                  <c:v>Penda Diop</c:v>
                </c:pt>
                <c:pt idx="21">
                  <c:v>Martina Pace</c:v>
                </c:pt>
                <c:pt idx="22">
                  <c:v>Alessia Gaspardi</c:v>
                </c:pt>
                <c:pt idx="23">
                  <c:v>Nora Ed Dahir</c:v>
                </c:pt>
                <c:pt idx="24">
                  <c:v>Antonio Commisso</c:v>
                </c:pt>
                <c:pt idx="25">
                  <c:v>Francesca Garotta</c:v>
                </c:pt>
                <c:pt idx="26">
                  <c:v>Nicolo Pedicini</c:v>
                </c:pt>
                <c:pt idx="27">
                  <c:v>Stefano Marchini</c:v>
                </c:pt>
                <c:pt idx="28">
                  <c:v>Daniele Petrellese</c:v>
                </c:pt>
                <c:pt idx="29">
                  <c:v>Simone Pia</c:v>
                </c:pt>
                <c:pt idx="30">
                  <c:v>Daniela Sandrini</c:v>
                </c:pt>
                <c:pt idx="31">
                  <c:v>Gabriele Giannini</c:v>
                </c:pt>
                <c:pt idx="32">
                  <c:v>Ahmed Afifi</c:v>
                </c:pt>
                <c:pt idx="33">
                  <c:v>Gianluca Penza</c:v>
                </c:pt>
                <c:pt idx="34">
                  <c:v>Lucia Serafini</c:v>
                </c:pt>
                <c:pt idx="35">
                  <c:v>Beatrice Binotto</c:v>
                </c:pt>
                <c:pt idx="36">
                  <c:v>Sabrina Xeka</c:v>
                </c:pt>
                <c:pt idx="37">
                  <c:v>Giulia Gnocchi</c:v>
                </c:pt>
                <c:pt idx="38">
                  <c:v>Eros Allonato</c:v>
                </c:pt>
                <c:pt idx="39">
                  <c:v>Glenda Medola</c:v>
                </c:pt>
                <c:pt idx="40">
                  <c:v>Eleonora Sissa</c:v>
                </c:pt>
              </c:strCache>
            </c:strRef>
          </c:cat>
          <c:val>
            <c:numRef>
              <c:f>'Agent Performance'!$T$5:$T$45</c:f>
              <c:numCache>
                <c:formatCode>0.00</c:formatCode>
                <c:ptCount val="41"/>
                <c:pt idx="0">
                  <c:v>48.685714285714283</c:v>
                </c:pt>
                <c:pt idx="1">
                  <c:v>31.34244604316547</c:v>
                </c:pt>
                <c:pt idx="2">
                  <c:v>30.025609756097559</c:v>
                </c:pt>
                <c:pt idx="3">
                  <c:v>25.895705521472394</c:v>
                </c:pt>
                <c:pt idx="4">
                  <c:v>24.32456140350877</c:v>
                </c:pt>
                <c:pt idx="5">
                  <c:v>22.783710407239806</c:v>
                </c:pt>
                <c:pt idx="6">
                  <c:v>22.700325732899021</c:v>
                </c:pt>
                <c:pt idx="7">
                  <c:v>22.554135338345862</c:v>
                </c:pt>
                <c:pt idx="8">
                  <c:v>21.953043478260852</c:v>
                </c:pt>
                <c:pt idx="9">
                  <c:v>21.403100775193789</c:v>
                </c:pt>
                <c:pt idx="10">
                  <c:v>21.28446866485012</c:v>
                </c:pt>
                <c:pt idx="11">
                  <c:v>21.131195335276995</c:v>
                </c:pt>
                <c:pt idx="12">
                  <c:v>21.034394904458598</c:v>
                </c:pt>
                <c:pt idx="13">
                  <c:v>20.994249201277952</c:v>
                </c:pt>
                <c:pt idx="14">
                  <c:v>20.38055555555556</c:v>
                </c:pt>
                <c:pt idx="15">
                  <c:v>19.581215469613259</c:v>
                </c:pt>
                <c:pt idx="16">
                  <c:v>19.366311300639648</c:v>
                </c:pt>
                <c:pt idx="17">
                  <c:v>18.928831168831167</c:v>
                </c:pt>
                <c:pt idx="18">
                  <c:v>18.564809384164224</c:v>
                </c:pt>
                <c:pt idx="19">
                  <c:v>18.365322580645149</c:v>
                </c:pt>
                <c:pt idx="20">
                  <c:v>17.927152317880811</c:v>
                </c:pt>
                <c:pt idx="21">
                  <c:v>17.839534883720916</c:v>
                </c:pt>
                <c:pt idx="22">
                  <c:v>17.634210526315794</c:v>
                </c:pt>
                <c:pt idx="23">
                  <c:v>17.305263157894736</c:v>
                </c:pt>
                <c:pt idx="24">
                  <c:v>17.195454545454535</c:v>
                </c:pt>
                <c:pt idx="25">
                  <c:v>17.166301969365417</c:v>
                </c:pt>
                <c:pt idx="26">
                  <c:v>16.594811320754712</c:v>
                </c:pt>
                <c:pt idx="27">
                  <c:v>16.298694516971292</c:v>
                </c:pt>
                <c:pt idx="28">
                  <c:v>15.168669527896991</c:v>
                </c:pt>
                <c:pt idx="29">
                  <c:v>14.96651785714287</c:v>
                </c:pt>
                <c:pt idx="30">
                  <c:v>14.108080808080816</c:v>
                </c:pt>
                <c:pt idx="31">
                  <c:v>13.979421221864959</c:v>
                </c:pt>
                <c:pt idx="32">
                  <c:v>13.837354085603103</c:v>
                </c:pt>
                <c:pt idx="33">
                  <c:v>13.25622593068036</c:v>
                </c:pt>
                <c:pt idx="34">
                  <c:v>13.094794520547946</c:v>
                </c:pt>
                <c:pt idx="35">
                  <c:v>12.958029197080299</c:v>
                </c:pt>
                <c:pt idx="36">
                  <c:v>12.204316546762595</c:v>
                </c:pt>
                <c:pt idx="37">
                  <c:v>10.447516198704101</c:v>
                </c:pt>
                <c:pt idx="38">
                  <c:v>9.8519999999999985</c:v>
                </c:pt>
                <c:pt idx="39">
                  <c:v>9.4571030640668692</c:v>
                </c:pt>
                <c:pt idx="40">
                  <c:v>9.2927586206896571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0-469D-A510-19E941DBEFF8}"/>
            </c:ext>
          </c:extLst>
        </c:ser>
        <c:ser>
          <c:idx val="1"/>
          <c:order val="1"/>
          <c:tx>
            <c:strRef>
              <c:f>'Agent Performance'!$U$4</c:f>
              <c:strCache>
                <c:ptCount val="1"/>
                <c:pt idx="0">
                  <c:v>team_avg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Performance'!$S$5:$S$45</c:f>
              <c:strCache>
                <c:ptCount val="41"/>
                <c:pt idx="0">
                  <c:v>Miriam De Pasquale</c:v>
                </c:pt>
                <c:pt idx="1">
                  <c:v>Viktoriia Lavrinets</c:v>
                </c:pt>
                <c:pt idx="2">
                  <c:v>Francesco Carnevali</c:v>
                </c:pt>
                <c:pt idx="3">
                  <c:v>Greta Levati</c:v>
                </c:pt>
                <c:pt idx="4">
                  <c:v>Asia Chirullo</c:v>
                </c:pt>
                <c:pt idx="5">
                  <c:v>Ambra Ramella</c:v>
                </c:pt>
                <c:pt idx="6">
                  <c:v>Matteo Perrone</c:v>
                </c:pt>
                <c:pt idx="7">
                  <c:v>Samuele Naldi</c:v>
                </c:pt>
                <c:pt idx="8">
                  <c:v>Kaotar Garaoui</c:v>
                </c:pt>
                <c:pt idx="9">
                  <c:v>Antonella Pedroni</c:v>
                </c:pt>
                <c:pt idx="10">
                  <c:v>Matteo Valzasina</c:v>
                </c:pt>
                <c:pt idx="11">
                  <c:v>Valentina Rozza</c:v>
                </c:pt>
                <c:pt idx="12">
                  <c:v>Wissal Fadli</c:v>
                </c:pt>
                <c:pt idx="13">
                  <c:v>Nadiia Ariefieva</c:v>
                </c:pt>
                <c:pt idx="14">
                  <c:v>Alice Galbussera</c:v>
                </c:pt>
                <c:pt idx="15">
                  <c:v>Nicolas  Raigoso</c:v>
                </c:pt>
                <c:pt idx="16">
                  <c:v>Lorenzo Barbieri</c:v>
                </c:pt>
                <c:pt idx="17">
                  <c:v>Davide Parisi</c:v>
                </c:pt>
                <c:pt idx="18">
                  <c:v>Alessandro Passariello</c:v>
                </c:pt>
                <c:pt idx="19">
                  <c:v>Alice Di Pace</c:v>
                </c:pt>
                <c:pt idx="20">
                  <c:v>Penda Diop</c:v>
                </c:pt>
                <c:pt idx="21">
                  <c:v>Martina Pace</c:v>
                </c:pt>
                <c:pt idx="22">
                  <c:v>Alessia Gaspardi</c:v>
                </c:pt>
                <c:pt idx="23">
                  <c:v>Nora Ed Dahir</c:v>
                </c:pt>
                <c:pt idx="24">
                  <c:v>Antonio Commisso</c:v>
                </c:pt>
                <c:pt idx="25">
                  <c:v>Francesca Garotta</c:v>
                </c:pt>
                <c:pt idx="26">
                  <c:v>Nicolo Pedicini</c:v>
                </c:pt>
                <c:pt idx="27">
                  <c:v>Stefano Marchini</c:v>
                </c:pt>
                <c:pt idx="28">
                  <c:v>Daniele Petrellese</c:v>
                </c:pt>
                <c:pt idx="29">
                  <c:v>Simone Pia</c:v>
                </c:pt>
                <c:pt idx="30">
                  <c:v>Daniela Sandrini</c:v>
                </c:pt>
                <c:pt idx="31">
                  <c:v>Gabriele Giannini</c:v>
                </c:pt>
                <c:pt idx="32">
                  <c:v>Ahmed Afifi</c:v>
                </c:pt>
                <c:pt idx="33">
                  <c:v>Gianluca Penza</c:v>
                </c:pt>
                <c:pt idx="34">
                  <c:v>Lucia Serafini</c:v>
                </c:pt>
                <c:pt idx="35">
                  <c:v>Beatrice Binotto</c:v>
                </c:pt>
                <c:pt idx="36">
                  <c:v>Sabrina Xeka</c:v>
                </c:pt>
                <c:pt idx="37">
                  <c:v>Giulia Gnocchi</c:v>
                </c:pt>
                <c:pt idx="38">
                  <c:v>Eros Allonato</c:v>
                </c:pt>
                <c:pt idx="39">
                  <c:v>Glenda Medola</c:v>
                </c:pt>
                <c:pt idx="40">
                  <c:v>Eleonora Sissa</c:v>
                </c:pt>
              </c:strCache>
            </c:strRef>
          </c:cat>
          <c:val>
            <c:numRef>
              <c:f>'Agent Performance'!$U$5:$U$45</c:f>
              <c:numCache>
                <c:formatCode>0.00</c:formatCode>
                <c:ptCount val="41"/>
                <c:pt idx="0">
                  <c:v>17.299477019627226</c:v>
                </c:pt>
                <c:pt idx="1">
                  <c:v>17.299477019627226</c:v>
                </c:pt>
                <c:pt idx="2">
                  <c:v>17.299477019627226</c:v>
                </c:pt>
                <c:pt idx="3">
                  <c:v>17.299477019627226</c:v>
                </c:pt>
                <c:pt idx="4">
                  <c:v>17.299477019627226</c:v>
                </c:pt>
                <c:pt idx="5">
                  <c:v>17.299477019627226</c:v>
                </c:pt>
                <c:pt idx="6">
                  <c:v>17.299477019627226</c:v>
                </c:pt>
                <c:pt idx="7">
                  <c:v>17.299477019627226</c:v>
                </c:pt>
                <c:pt idx="8">
                  <c:v>17.299477019627226</c:v>
                </c:pt>
                <c:pt idx="9">
                  <c:v>17.299477019627226</c:v>
                </c:pt>
                <c:pt idx="10">
                  <c:v>17.299477019627226</c:v>
                </c:pt>
                <c:pt idx="11">
                  <c:v>17.299477019627226</c:v>
                </c:pt>
                <c:pt idx="12">
                  <c:v>17.299477019627226</c:v>
                </c:pt>
                <c:pt idx="13">
                  <c:v>17.299477019627226</c:v>
                </c:pt>
                <c:pt idx="14">
                  <c:v>17.299477019627226</c:v>
                </c:pt>
                <c:pt idx="15">
                  <c:v>17.299477019627226</c:v>
                </c:pt>
                <c:pt idx="16">
                  <c:v>17.299477019627226</c:v>
                </c:pt>
                <c:pt idx="17">
                  <c:v>17.299477019627226</c:v>
                </c:pt>
                <c:pt idx="18">
                  <c:v>17.299477019627226</c:v>
                </c:pt>
                <c:pt idx="19">
                  <c:v>17.299477019627226</c:v>
                </c:pt>
                <c:pt idx="20">
                  <c:v>17.299477019627226</c:v>
                </c:pt>
                <c:pt idx="21">
                  <c:v>17.299477019627226</c:v>
                </c:pt>
                <c:pt idx="22">
                  <c:v>17.299477019627226</c:v>
                </c:pt>
                <c:pt idx="23">
                  <c:v>17.299477019627226</c:v>
                </c:pt>
                <c:pt idx="24">
                  <c:v>17.299477019627226</c:v>
                </c:pt>
                <c:pt idx="25">
                  <c:v>17.299477019627226</c:v>
                </c:pt>
                <c:pt idx="26">
                  <c:v>17.299477019627226</c:v>
                </c:pt>
                <c:pt idx="27">
                  <c:v>17.299477019627226</c:v>
                </c:pt>
                <c:pt idx="28">
                  <c:v>17.299477019627226</c:v>
                </c:pt>
                <c:pt idx="29">
                  <c:v>17.299477019627226</c:v>
                </c:pt>
                <c:pt idx="30">
                  <c:v>17.299477019627226</c:v>
                </c:pt>
                <c:pt idx="31">
                  <c:v>17.299477019627226</c:v>
                </c:pt>
                <c:pt idx="32">
                  <c:v>17.299477019627226</c:v>
                </c:pt>
                <c:pt idx="33">
                  <c:v>17.299477019627226</c:v>
                </c:pt>
                <c:pt idx="34">
                  <c:v>17.299477019627226</c:v>
                </c:pt>
                <c:pt idx="35">
                  <c:v>17.299477019627226</c:v>
                </c:pt>
                <c:pt idx="36">
                  <c:v>17.299477019627226</c:v>
                </c:pt>
                <c:pt idx="37">
                  <c:v>17.299477019627226</c:v>
                </c:pt>
                <c:pt idx="38">
                  <c:v>17.299477019627226</c:v>
                </c:pt>
                <c:pt idx="39">
                  <c:v>17.299477019627226</c:v>
                </c:pt>
                <c:pt idx="40">
                  <c:v>17.299477019627226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0-469D-A510-19E941DBEFF8}"/>
            </c:ext>
          </c:extLst>
        </c:ser>
        <c:ser>
          <c:idx val="2"/>
          <c:order val="2"/>
          <c:tx>
            <c:strRef>
              <c:f>'Agent Performance'!$V$4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5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Performance'!$S$5:$S$45</c:f>
              <c:strCache>
                <c:ptCount val="41"/>
                <c:pt idx="0">
                  <c:v>Miriam De Pasquale</c:v>
                </c:pt>
                <c:pt idx="1">
                  <c:v>Viktoriia Lavrinets</c:v>
                </c:pt>
                <c:pt idx="2">
                  <c:v>Francesco Carnevali</c:v>
                </c:pt>
                <c:pt idx="3">
                  <c:v>Greta Levati</c:v>
                </c:pt>
                <c:pt idx="4">
                  <c:v>Asia Chirullo</c:v>
                </c:pt>
                <c:pt idx="5">
                  <c:v>Ambra Ramella</c:v>
                </c:pt>
                <c:pt idx="6">
                  <c:v>Matteo Perrone</c:v>
                </c:pt>
                <c:pt idx="7">
                  <c:v>Samuele Naldi</c:v>
                </c:pt>
                <c:pt idx="8">
                  <c:v>Kaotar Garaoui</c:v>
                </c:pt>
                <c:pt idx="9">
                  <c:v>Antonella Pedroni</c:v>
                </c:pt>
                <c:pt idx="10">
                  <c:v>Matteo Valzasina</c:v>
                </c:pt>
                <c:pt idx="11">
                  <c:v>Valentina Rozza</c:v>
                </c:pt>
                <c:pt idx="12">
                  <c:v>Wissal Fadli</c:v>
                </c:pt>
                <c:pt idx="13">
                  <c:v>Nadiia Ariefieva</c:v>
                </c:pt>
                <c:pt idx="14">
                  <c:v>Alice Galbussera</c:v>
                </c:pt>
                <c:pt idx="15">
                  <c:v>Nicolas  Raigoso</c:v>
                </c:pt>
                <c:pt idx="16">
                  <c:v>Lorenzo Barbieri</c:v>
                </c:pt>
                <c:pt idx="17">
                  <c:v>Davide Parisi</c:v>
                </c:pt>
                <c:pt idx="18">
                  <c:v>Alessandro Passariello</c:v>
                </c:pt>
                <c:pt idx="19">
                  <c:v>Alice Di Pace</c:v>
                </c:pt>
                <c:pt idx="20">
                  <c:v>Penda Diop</c:v>
                </c:pt>
                <c:pt idx="21">
                  <c:v>Martina Pace</c:v>
                </c:pt>
                <c:pt idx="22">
                  <c:v>Alessia Gaspardi</c:v>
                </c:pt>
                <c:pt idx="23">
                  <c:v>Nora Ed Dahir</c:v>
                </c:pt>
                <c:pt idx="24">
                  <c:v>Antonio Commisso</c:v>
                </c:pt>
                <c:pt idx="25">
                  <c:v>Francesca Garotta</c:v>
                </c:pt>
                <c:pt idx="26">
                  <c:v>Nicolo Pedicini</c:v>
                </c:pt>
                <c:pt idx="27">
                  <c:v>Stefano Marchini</c:v>
                </c:pt>
                <c:pt idx="28">
                  <c:v>Daniele Petrellese</c:v>
                </c:pt>
                <c:pt idx="29">
                  <c:v>Simone Pia</c:v>
                </c:pt>
                <c:pt idx="30">
                  <c:v>Daniela Sandrini</c:v>
                </c:pt>
                <c:pt idx="31">
                  <c:v>Gabriele Giannini</c:v>
                </c:pt>
                <c:pt idx="32">
                  <c:v>Ahmed Afifi</c:v>
                </c:pt>
                <c:pt idx="33">
                  <c:v>Gianluca Penza</c:v>
                </c:pt>
                <c:pt idx="34">
                  <c:v>Lucia Serafini</c:v>
                </c:pt>
                <c:pt idx="35">
                  <c:v>Beatrice Binotto</c:v>
                </c:pt>
                <c:pt idx="36">
                  <c:v>Sabrina Xeka</c:v>
                </c:pt>
                <c:pt idx="37">
                  <c:v>Giulia Gnocchi</c:v>
                </c:pt>
                <c:pt idx="38">
                  <c:v>Eros Allonato</c:v>
                </c:pt>
                <c:pt idx="39">
                  <c:v>Glenda Medola</c:v>
                </c:pt>
                <c:pt idx="40">
                  <c:v>Eleonora Sissa</c:v>
                </c:pt>
              </c:strCache>
            </c:strRef>
          </c:cat>
          <c:val>
            <c:numRef>
              <c:f>'Agent Performance'!$V$5:$V$45</c:f>
              <c:numCache>
                <c:formatCode>0.00</c:formatCode>
                <c:ptCount val="41"/>
                <c:pt idx="0">
                  <c:v>19.541666666666664</c:v>
                </c:pt>
                <c:pt idx="1">
                  <c:v>19.541666666666664</c:v>
                </c:pt>
                <c:pt idx="2">
                  <c:v>19.541666666666664</c:v>
                </c:pt>
                <c:pt idx="3">
                  <c:v>19.541666666666664</c:v>
                </c:pt>
                <c:pt idx="4">
                  <c:v>19.541666666666664</c:v>
                </c:pt>
                <c:pt idx="5">
                  <c:v>19.541666666666664</c:v>
                </c:pt>
                <c:pt idx="6">
                  <c:v>19.541666666666664</c:v>
                </c:pt>
                <c:pt idx="7">
                  <c:v>19.541666666666664</c:v>
                </c:pt>
                <c:pt idx="8">
                  <c:v>19.541666666666664</c:v>
                </c:pt>
                <c:pt idx="9">
                  <c:v>19.541666666666664</c:v>
                </c:pt>
                <c:pt idx="10">
                  <c:v>19.541666666666664</c:v>
                </c:pt>
                <c:pt idx="11">
                  <c:v>19.541666666666664</c:v>
                </c:pt>
                <c:pt idx="12">
                  <c:v>19.541666666666664</c:v>
                </c:pt>
                <c:pt idx="13">
                  <c:v>19.541666666666664</c:v>
                </c:pt>
                <c:pt idx="14">
                  <c:v>19.541666666666664</c:v>
                </c:pt>
                <c:pt idx="15">
                  <c:v>19.541666666666664</c:v>
                </c:pt>
                <c:pt idx="16">
                  <c:v>19.541666666666664</c:v>
                </c:pt>
                <c:pt idx="17">
                  <c:v>19.541666666666664</c:v>
                </c:pt>
                <c:pt idx="18">
                  <c:v>19.541666666666664</c:v>
                </c:pt>
                <c:pt idx="19">
                  <c:v>19.541666666666664</c:v>
                </c:pt>
                <c:pt idx="20">
                  <c:v>19.541666666666664</c:v>
                </c:pt>
                <c:pt idx="21">
                  <c:v>19.541666666666664</c:v>
                </c:pt>
                <c:pt idx="22">
                  <c:v>19.541666666666664</c:v>
                </c:pt>
                <c:pt idx="23">
                  <c:v>19.541666666666664</c:v>
                </c:pt>
                <c:pt idx="24">
                  <c:v>19.541666666666664</c:v>
                </c:pt>
                <c:pt idx="25">
                  <c:v>19.541666666666664</c:v>
                </c:pt>
                <c:pt idx="26">
                  <c:v>19.541666666666664</c:v>
                </c:pt>
                <c:pt idx="27">
                  <c:v>19.541666666666664</c:v>
                </c:pt>
                <c:pt idx="28">
                  <c:v>19.541666666666664</c:v>
                </c:pt>
                <c:pt idx="29">
                  <c:v>19.541666666666664</c:v>
                </c:pt>
                <c:pt idx="30">
                  <c:v>19.541666666666664</c:v>
                </c:pt>
                <c:pt idx="31">
                  <c:v>19.541666666666664</c:v>
                </c:pt>
                <c:pt idx="32">
                  <c:v>19.541666666666664</c:v>
                </c:pt>
                <c:pt idx="33">
                  <c:v>19.541666666666664</c:v>
                </c:pt>
                <c:pt idx="34">
                  <c:v>19.541666666666664</c:v>
                </c:pt>
                <c:pt idx="35">
                  <c:v>19.541666666666664</c:v>
                </c:pt>
                <c:pt idx="36">
                  <c:v>19.541666666666664</c:v>
                </c:pt>
                <c:pt idx="37">
                  <c:v>19.541666666666664</c:v>
                </c:pt>
                <c:pt idx="38">
                  <c:v>19.541666666666664</c:v>
                </c:pt>
                <c:pt idx="39">
                  <c:v>19.541666666666664</c:v>
                </c:pt>
                <c:pt idx="40">
                  <c:v>19.541666666666664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0-469D-A510-19E941DB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360815"/>
        <c:axId val="1371352175"/>
      </c:lineChart>
      <c:lineChart>
        <c:grouping val="standard"/>
        <c:varyColors val="0"/>
        <c:ser>
          <c:idx val="3"/>
          <c:order val="3"/>
          <c:tx>
            <c:strRef>
              <c:f>'Agent Performance'!$X$4</c:f>
              <c:strCache>
                <c:ptCount val="1"/>
                <c:pt idx="0">
                  <c:v>avg_daily_vol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7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'Agent Performance'!$S$5:$S$45</c:f>
              <c:strCache>
                <c:ptCount val="41"/>
                <c:pt idx="0">
                  <c:v>Miriam De Pasquale</c:v>
                </c:pt>
                <c:pt idx="1">
                  <c:v>Viktoriia Lavrinets</c:v>
                </c:pt>
                <c:pt idx="2">
                  <c:v>Francesco Carnevali</c:v>
                </c:pt>
                <c:pt idx="3">
                  <c:v>Greta Levati</c:v>
                </c:pt>
                <c:pt idx="4">
                  <c:v>Asia Chirullo</c:v>
                </c:pt>
                <c:pt idx="5">
                  <c:v>Ambra Ramella</c:v>
                </c:pt>
                <c:pt idx="6">
                  <c:v>Matteo Perrone</c:v>
                </c:pt>
                <c:pt idx="7">
                  <c:v>Samuele Naldi</c:v>
                </c:pt>
                <c:pt idx="8">
                  <c:v>Kaotar Garaoui</c:v>
                </c:pt>
                <c:pt idx="9">
                  <c:v>Antonella Pedroni</c:v>
                </c:pt>
                <c:pt idx="10">
                  <c:v>Matteo Valzasina</c:v>
                </c:pt>
                <c:pt idx="11">
                  <c:v>Valentina Rozza</c:v>
                </c:pt>
                <c:pt idx="12">
                  <c:v>Wissal Fadli</c:v>
                </c:pt>
                <c:pt idx="13">
                  <c:v>Nadiia Ariefieva</c:v>
                </c:pt>
                <c:pt idx="14">
                  <c:v>Alice Galbussera</c:v>
                </c:pt>
                <c:pt idx="15">
                  <c:v>Nicolas  Raigoso</c:v>
                </c:pt>
                <c:pt idx="16">
                  <c:v>Lorenzo Barbieri</c:v>
                </c:pt>
                <c:pt idx="17">
                  <c:v>Davide Parisi</c:v>
                </c:pt>
                <c:pt idx="18">
                  <c:v>Alessandro Passariello</c:v>
                </c:pt>
                <c:pt idx="19">
                  <c:v>Alice Di Pace</c:v>
                </c:pt>
                <c:pt idx="20">
                  <c:v>Penda Diop</c:v>
                </c:pt>
                <c:pt idx="21">
                  <c:v>Martina Pace</c:v>
                </c:pt>
                <c:pt idx="22">
                  <c:v>Alessia Gaspardi</c:v>
                </c:pt>
                <c:pt idx="23">
                  <c:v>Nora Ed Dahir</c:v>
                </c:pt>
                <c:pt idx="24">
                  <c:v>Antonio Commisso</c:v>
                </c:pt>
                <c:pt idx="25">
                  <c:v>Francesca Garotta</c:v>
                </c:pt>
                <c:pt idx="26">
                  <c:v>Nicolo Pedicini</c:v>
                </c:pt>
                <c:pt idx="27">
                  <c:v>Stefano Marchini</c:v>
                </c:pt>
                <c:pt idx="28">
                  <c:v>Daniele Petrellese</c:v>
                </c:pt>
                <c:pt idx="29">
                  <c:v>Simone Pia</c:v>
                </c:pt>
                <c:pt idx="30">
                  <c:v>Daniela Sandrini</c:v>
                </c:pt>
                <c:pt idx="31">
                  <c:v>Gabriele Giannini</c:v>
                </c:pt>
                <c:pt idx="32">
                  <c:v>Ahmed Afifi</c:v>
                </c:pt>
                <c:pt idx="33">
                  <c:v>Gianluca Penza</c:v>
                </c:pt>
                <c:pt idx="34">
                  <c:v>Lucia Serafini</c:v>
                </c:pt>
                <c:pt idx="35">
                  <c:v>Beatrice Binotto</c:v>
                </c:pt>
                <c:pt idx="36">
                  <c:v>Sabrina Xeka</c:v>
                </c:pt>
                <c:pt idx="37">
                  <c:v>Giulia Gnocchi</c:v>
                </c:pt>
                <c:pt idx="38">
                  <c:v>Eros Allonato</c:v>
                </c:pt>
                <c:pt idx="39">
                  <c:v>Glenda Medola</c:v>
                </c:pt>
                <c:pt idx="40">
                  <c:v>Eleonora Sissa</c:v>
                </c:pt>
              </c:strCache>
            </c:strRef>
          </c:cat>
          <c:val>
            <c:numRef>
              <c:f>'Agent Performance'!$X$5:$X$45</c:f>
              <c:numCache>
                <c:formatCode>0.00</c:formatCode>
                <c:ptCount val="41"/>
                <c:pt idx="0">
                  <c:v>6.6363636363636367</c:v>
                </c:pt>
                <c:pt idx="1">
                  <c:v>15.454545454545455</c:v>
                </c:pt>
                <c:pt idx="2">
                  <c:v>16.40909090909091</c:v>
                </c:pt>
                <c:pt idx="3">
                  <c:v>9.6818181818181817</c:v>
                </c:pt>
                <c:pt idx="4">
                  <c:v>15.954545454545455</c:v>
                </c:pt>
                <c:pt idx="5">
                  <c:v>10.636363636363637</c:v>
                </c:pt>
                <c:pt idx="6">
                  <c:v>16.454545454545453</c:v>
                </c:pt>
                <c:pt idx="7">
                  <c:v>12.5</c:v>
                </c:pt>
                <c:pt idx="8">
                  <c:v>16.59090909090909</c:v>
                </c:pt>
                <c:pt idx="9">
                  <c:v>19.40909090909091</c:v>
                </c:pt>
                <c:pt idx="10">
                  <c:v>19.272727272727273</c:v>
                </c:pt>
                <c:pt idx="11">
                  <c:v>16.545454545454547</c:v>
                </c:pt>
                <c:pt idx="12">
                  <c:v>15</c:v>
                </c:pt>
                <c:pt idx="13">
                  <c:v>16.045454545454547</c:v>
                </c:pt>
                <c:pt idx="14">
                  <c:v>21.363636363636363</c:v>
                </c:pt>
                <c:pt idx="15">
                  <c:v>17.772727272727273</c:v>
                </c:pt>
                <c:pt idx="16">
                  <c:v>25.818181818181817</c:v>
                </c:pt>
                <c:pt idx="17">
                  <c:v>18.045454545454547</c:v>
                </c:pt>
                <c:pt idx="18">
                  <c:v>17.818181818181817</c:v>
                </c:pt>
                <c:pt idx="19">
                  <c:v>12.454545454545455</c:v>
                </c:pt>
                <c:pt idx="20">
                  <c:v>21.636363636363637</c:v>
                </c:pt>
                <c:pt idx="21">
                  <c:v>23</c:v>
                </c:pt>
                <c:pt idx="22">
                  <c:v>23.09090909090909</c:v>
                </c:pt>
                <c:pt idx="23">
                  <c:v>8.9090909090909083</c:v>
                </c:pt>
                <c:pt idx="24">
                  <c:v>31.954545454545453</c:v>
                </c:pt>
                <c:pt idx="25">
                  <c:v>20.863636363636363</c:v>
                </c:pt>
                <c:pt idx="26">
                  <c:v>26.363636363636363</c:v>
                </c:pt>
                <c:pt idx="27">
                  <c:v>20.09090909090909</c:v>
                </c:pt>
                <c:pt idx="28">
                  <c:v>21.727272727272727</c:v>
                </c:pt>
                <c:pt idx="29">
                  <c:v>20.636363636363637</c:v>
                </c:pt>
                <c:pt idx="30">
                  <c:v>28.545454545454547</c:v>
                </c:pt>
                <c:pt idx="31">
                  <c:v>29.227272727272727</c:v>
                </c:pt>
                <c:pt idx="32">
                  <c:v>11.909090909090908</c:v>
                </c:pt>
                <c:pt idx="33">
                  <c:v>40.772727272727273</c:v>
                </c:pt>
                <c:pt idx="34">
                  <c:v>17.227272727272727</c:v>
                </c:pt>
                <c:pt idx="35">
                  <c:v>26.09090909090909</c:v>
                </c:pt>
                <c:pt idx="36">
                  <c:v>19.681818181818183</c:v>
                </c:pt>
                <c:pt idx="37">
                  <c:v>22.40909090909091</c:v>
                </c:pt>
                <c:pt idx="38">
                  <c:v>14.272727272727273</c:v>
                </c:pt>
                <c:pt idx="39">
                  <c:v>39.090909090909093</c:v>
                </c:pt>
                <c:pt idx="40">
                  <c:v>30.90909090909091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0-469D-A510-19E941DB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000848"/>
        <c:axId val="231001808"/>
      </c:lineChart>
      <c:catAx>
        <c:axId val="137136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 b="1"/>
                  <a:t>Agent</a:t>
                </a:r>
                <a:endParaRPr lang="it-IT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52175"/>
        <c:crosses val="autoZero"/>
        <c:auto val="1"/>
        <c:lblAlgn val="ctr"/>
        <c:lblOffset val="100"/>
        <c:noMultiLvlLbl val="0"/>
      </c:catAx>
      <c:valAx>
        <c:axId val="137135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Aht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60815"/>
        <c:crosses val="autoZero"/>
        <c:crossBetween val="between"/>
      </c:valAx>
      <c:valAx>
        <c:axId val="2310018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Volume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000848"/>
        <c:crosses val="max"/>
        <c:crossBetween val="between"/>
      </c:valAx>
      <c:catAx>
        <c:axId val="23100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10018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Agent vs Team AHT [Phone]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'Agent Performance'!$F$4</c:f>
              <c:strCache>
                <c:ptCount val="1"/>
                <c:pt idx="0">
                  <c:v>aht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Performance'!$E$5:$E$45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Performance'!$F$5:$F$45</c:f>
              <c:numCache>
                <c:formatCode>0.00</c:formatCode>
                <c:ptCount val="41"/>
                <c:pt idx="0">
                  <c:v>8.5069306930693109</c:v>
                </c:pt>
                <c:pt idx="1">
                  <c:v>17.275609756097563</c:v>
                </c:pt>
                <c:pt idx="2">
                  <c:v>12.990532544378693</c:v>
                </c:pt>
                <c:pt idx="3">
                  <c:v>14.322857142857149</c:v>
                </c:pt>
                <c:pt idx="4">
                  <c:v>17.512258064516129</c:v>
                </c:pt>
                <c:pt idx="5">
                  <c:v>25.038095238095238</c:v>
                </c:pt>
                <c:pt idx="6">
                  <c:v>20.563636363636366</c:v>
                </c:pt>
                <c:pt idx="7">
                  <c:v>14.345728643216081</c:v>
                </c:pt>
                <c:pt idx="8">
                  <c:v>23.928888888888896</c:v>
                </c:pt>
                <c:pt idx="9">
                  <c:v>10.232038834951453</c:v>
                </c:pt>
                <c:pt idx="10">
                  <c:v>11.657142857142855</c:v>
                </c:pt>
                <c:pt idx="11">
                  <c:v>13.699547511312215</c:v>
                </c:pt>
                <c:pt idx="12">
                  <c:v>16.682352941176472</c:v>
                </c:pt>
                <c:pt idx="13">
                  <c:v>5.5918367346938744</c:v>
                </c:pt>
                <c:pt idx="14">
                  <c:v>7.1594594594594634</c:v>
                </c:pt>
                <c:pt idx="15">
                  <c:v>12.774074074074075</c:v>
                </c:pt>
                <c:pt idx="16">
                  <c:v>32.986516853932592</c:v>
                </c:pt>
                <c:pt idx="17">
                  <c:v>14.617894736842103</c:v>
                </c:pt>
                <c:pt idx="18">
                  <c:v>11.393377483443707</c:v>
                </c:pt>
                <c:pt idx="19">
                  <c:v>7.6669950738916279</c:v>
                </c:pt>
                <c:pt idx="20">
                  <c:v>5.6325925925925642</c:v>
                </c:pt>
                <c:pt idx="21">
                  <c:v>35.189189189189186</c:v>
                </c:pt>
                <c:pt idx="22">
                  <c:v>19.997368421052638</c:v>
                </c:pt>
                <c:pt idx="23">
                  <c:v>17.412162162162172</c:v>
                </c:pt>
                <c:pt idx="24">
                  <c:v>8.985628742514967</c:v>
                </c:pt>
                <c:pt idx="25">
                  <c:v>16.304347826086961</c:v>
                </c:pt>
                <c:pt idx="26">
                  <c:v>25.999999999999986</c:v>
                </c:pt>
                <c:pt idx="27">
                  <c:v>21.658252427184472</c:v>
                </c:pt>
                <c:pt idx="28">
                  <c:v>38.729999999999997</c:v>
                </c:pt>
                <c:pt idx="29">
                  <c:v>19.477499999999999</c:v>
                </c:pt>
                <c:pt idx="30">
                  <c:v>15.825433526011562</c:v>
                </c:pt>
                <c:pt idx="31">
                  <c:v>8.1959390862944161</c:v>
                </c:pt>
                <c:pt idx="32">
                  <c:v>15.982857142857135</c:v>
                </c:pt>
                <c:pt idx="33">
                  <c:v>17.603333333333328</c:v>
                </c:pt>
                <c:pt idx="34">
                  <c:v>9.8755980861244037</c:v>
                </c:pt>
                <c:pt idx="35">
                  <c:v>22.002919708029196</c:v>
                </c:pt>
                <c:pt idx="36">
                  <c:v>13.852307692307692</c:v>
                </c:pt>
                <c:pt idx="37">
                  <c:v>15.328205128205123</c:v>
                </c:pt>
                <c:pt idx="38">
                  <c:v>13.499999999999993</c:v>
                </c:pt>
                <c:pt idx="39">
                  <c:v>33.727058823529411</c:v>
                </c:pt>
                <c:pt idx="40">
                  <c:v>16.233027522935785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D-4435-B7B9-03BF0E676080}"/>
            </c:ext>
          </c:extLst>
        </c:ser>
        <c:ser>
          <c:idx val="2"/>
          <c:order val="1"/>
          <c:tx>
            <c:strRef>
              <c:f>'Agent Performance'!$H$4</c:f>
              <c:strCache>
                <c:ptCount val="1"/>
                <c:pt idx="0">
                  <c:v>team_avg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Performance'!$E$5:$E$45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Performance'!$H$5:$H$45</c:f>
              <c:numCache>
                <c:formatCode>0.00</c:formatCode>
                <c:ptCount val="41"/>
                <c:pt idx="0">
                  <c:v>19.415932870610145</c:v>
                </c:pt>
                <c:pt idx="1">
                  <c:v>19.415932870610145</c:v>
                </c:pt>
                <c:pt idx="2">
                  <c:v>19.415932870610145</c:v>
                </c:pt>
                <c:pt idx="3">
                  <c:v>19.415932870610145</c:v>
                </c:pt>
                <c:pt idx="4">
                  <c:v>19.415932870610145</c:v>
                </c:pt>
                <c:pt idx="5">
                  <c:v>19.415932870610145</c:v>
                </c:pt>
                <c:pt idx="6">
                  <c:v>19.415932870610145</c:v>
                </c:pt>
                <c:pt idx="7">
                  <c:v>19.415932870610145</c:v>
                </c:pt>
                <c:pt idx="8">
                  <c:v>19.415932870610145</c:v>
                </c:pt>
                <c:pt idx="9">
                  <c:v>19.415932870610145</c:v>
                </c:pt>
                <c:pt idx="10">
                  <c:v>19.415932870610145</c:v>
                </c:pt>
                <c:pt idx="11">
                  <c:v>19.415932870610145</c:v>
                </c:pt>
                <c:pt idx="12">
                  <c:v>19.415932870610145</c:v>
                </c:pt>
                <c:pt idx="13">
                  <c:v>19.415932870610145</c:v>
                </c:pt>
                <c:pt idx="14">
                  <c:v>19.415932870610145</c:v>
                </c:pt>
                <c:pt idx="15">
                  <c:v>19.415932870610145</c:v>
                </c:pt>
                <c:pt idx="16">
                  <c:v>19.415932870610145</c:v>
                </c:pt>
                <c:pt idx="17">
                  <c:v>19.415932870610145</c:v>
                </c:pt>
                <c:pt idx="18">
                  <c:v>19.415932870610145</c:v>
                </c:pt>
                <c:pt idx="19">
                  <c:v>19.415932870610145</c:v>
                </c:pt>
                <c:pt idx="20">
                  <c:v>19.415932870610145</c:v>
                </c:pt>
                <c:pt idx="21">
                  <c:v>19.415932870610145</c:v>
                </c:pt>
                <c:pt idx="22">
                  <c:v>19.415932870610145</c:v>
                </c:pt>
                <c:pt idx="23">
                  <c:v>19.415932870610145</c:v>
                </c:pt>
                <c:pt idx="24">
                  <c:v>19.415932870610145</c:v>
                </c:pt>
                <c:pt idx="25">
                  <c:v>19.415932870610145</c:v>
                </c:pt>
                <c:pt idx="26">
                  <c:v>19.415932870610145</c:v>
                </c:pt>
                <c:pt idx="27">
                  <c:v>19.415932870610145</c:v>
                </c:pt>
                <c:pt idx="28">
                  <c:v>19.415932870610145</c:v>
                </c:pt>
                <c:pt idx="29">
                  <c:v>19.415932870610145</c:v>
                </c:pt>
                <c:pt idx="30">
                  <c:v>19.415932870610145</c:v>
                </c:pt>
                <c:pt idx="31">
                  <c:v>19.415932870610145</c:v>
                </c:pt>
                <c:pt idx="32">
                  <c:v>19.415932870610145</c:v>
                </c:pt>
                <c:pt idx="33">
                  <c:v>19.415932870610145</c:v>
                </c:pt>
                <c:pt idx="34">
                  <c:v>19.415932870610145</c:v>
                </c:pt>
                <c:pt idx="35">
                  <c:v>19.415932870610145</c:v>
                </c:pt>
                <c:pt idx="36">
                  <c:v>19.415932870610145</c:v>
                </c:pt>
                <c:pt idx="37">
                  <c:v>19.415932870610145</c:v>
                </c:pt>
                <c:pt idx="38">
                  <c:v>19.415932870610145</c:v>
                </c:pt>
                <c:pt idx="39">
                  <c:v>19.415932870610145</c:v>
                </c:pt>
                <c:pt idx="40">
                  <c:v>19.415932870610145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D-4435-B7B9-03BF0E676080}"/>
            </c:ext>
          </c:extLst>
        </c:ser>
        <c:ser>
          <c:idx val="3"/>
          <c:order val="2"/>
          <c:tx>
            <c:strRef>
              <c:f>'Agent Performance'!$I$4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5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Performance'!$E$5:$E$45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Performance'!$I$5:$I$45</c:f>
              <c:numCache>
                <c:formatCode>General</c:formatCode>
                <c:ptCount val="4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D-4435-B7B9-03BF0E676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383375"/>
        <c:axId val="1371396335"/>
      </c:radarChart>
      <c:catAx>
        <c:axId val="137138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96335"/>
        <c:crosses val="autoZero"/>
        <c:auto val="1"/>
        <c:lblAlgn val="ctr"/>
        <c:lblOffset val="100"/>
        <c:noMultiLvlLbl val="0"/>
      </c:catAx>
      <c:valAx>
        <c:axId val="13713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8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Agent vs Team AHT [Non-live]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'Agent Performance'!$M$4</c:f>
              <c:strCache>
                <c:ptCount val="1"/>
                <c:pt idx="0">
                  <c:v>aht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Performance'!$L$5:$L$45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Performance'!$M$5:$M$45</c:f>
              <c:numCache>
                <c:formatCode>0.00</c:formatCode>
                <c:ptCount val="41"/>
                <c:pt idx="0">
                  <c:v>17.288461538461533</c:v>
                </c:pt>
                <c:pt idx="1">
                  <c:v>19.759322033898307</c:v>
                </c:pt>
                <c:pt idx="2">
                  <c:v>20.368641114982573</c:v>
                </c:pt>
                <c:pt idx="3">
                  <c:v>19.95505617977528</c:v>
                </c:pt>
                <c:pt idx="4">
                  <c:v>21.985559566787025</c:v>
                </c:pt>
                <c:pt idx="5">
                  <c:v>21.88481012658227</c:v>
                </c:pt>
                <c:pt idx="6">
                  <c:v>21.691666666666652</c:v>
                </c:pt>
                <c:pt idx="7">
                  <c:v>18.919148936170217</c:v>
                </c:pt>
                <c:pt idx="8">
                  <c:v>24.582608695652166</c:v>
                </c:pt>
                <c:pt idx="9">
                  <c:v>14.600000000000007</c:v>
                </c:pt>
                <c:pt idx="10">
                  <c:v>15.19077669902912</c:v>
                </c:pt>
                <c:pt idx="11">
                  <c:v>16.493877551020415</c:v>
                </c:pt>
                <c:pt idx="12">
                  <c:v>23.335384615384616</c:v>
                </c:pt>
                <c:pt idx="13">
                  <c:v>13.097202797202787</c:v>
                </c:pt>
                <c:pt idx="14">
                  <c:v>12.47368421052631</c:v>
                </c:pt>
                <c:pt idx="15">
                  <c:v>19.57830508474575</c:v>
                </c:pt>
                <c:pt idx="16">
                  <c:v>28.923012552301255</c:v>
                </c:pt>
                <c:pt idx="17">
                  <c:v>13.698611111111116</c:v>
                </c:pt>
                <c:pt idx="18">
                  <c:v>15.844785276073619</c:v>
                </c:pt>
                <c:pt idx="19">
                  <c:v>12.618461538461542</c:v>
                </c:pt>
                <c:pt idx="20">
                  <c:v>14.40575079872205</c:v>
                </c:pt>
                <c:pt idx="21">
                  <c:v>23.166666666666671</c:v>
                </c:pt>
                <c:pt idx="22">
                  <c:v>23.493264248704651</c:v>
                </c:pt>
                <c:pt idx="23">
                  <c:v>20.267289719626167</c:v>
                </c:pt>
                <c:pt idx="24">
                  <c:v>16.560606060606066</c:v>
                </c:pt>
                <c:pt idx="25">
                  <c:v>18.565068493150683</c:v>
                </c:pt>
                <c:pt idx="26">
                  <c:v>21.689361702127652</c:v>
                </c:pt>
                <c:pt idx="27">
                  <c:v>21.138636363636355</c:v>
                </c:pt>
                <c:pt idx="28">
                  <c:v>51.028235294117643</c:v>
                </c:pt>
                <c:pt idx="29">
                  <c:v>21.515021459227455</c:v>
                </c:pt>
                <c:pt idx="30">
                  <c:v>23.019047619047612</c:v>
                </c:pt>
                <c:pt idx="31">
                  <c:v>23.883700440528653</c:v>
                </c:pt>
                <c:pt idx="32">
                  <c:v>20.259574468085109</c:v>
                </c:pt>
                <c:pt idx="33">
                  <c:v>18.140659340659337</c:v>
                </c:pt>
                <c:pt idx="34">
                  <c:v>14.544230769230769</c:v>
                </c:pt>
                <c:pt idx="35">
                  <c:v>23.139534883720948</c:v>
                </c:pt>
                <c:pt idx="36">
                  <c:v>15.825296442687739</c:v>
                </c:pt>
                <c:pt idx="37">
                  <c:v>16.725563909774436</c:v>
                </c:pt>
                <c:pt idx="38">
                  <c:v>25.788732394366228</c:v>
                </c:pt>
                <c:pt idx="39">
                  <c:v>30.292227979274603</c:v>
                </c:pt>
                <c:pt idx="40">
                  <c:v>23.587317073170752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1-42A9-A0FB-2391ADF69855}"/>
            </c:ext>
          </c:extLst>
        </c:ser>
        <c:ser>
          <c:idx val="1"/>
          <c:order val="1"/>
          <c:tx>
            <c:strRef>
              <c:f>'Agent Performance'!$O$4</c:f>
              <c:strCache>
                <c:ptCount val="1"/>
                <c:pt idx="0">
                  <c:v>team_avg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Performance'!$L$5:$L$45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Performance'!$O$5:$O$45</c:f>
              <c:numCache>
                <c:formatCode>0.00</c:formatCode>
                <c:ptCount val="41"/>
                <c:pt idx="0">
                  <c:v>19.415932870610145</c:v>
                </c:pt>
                <c:pt idx="1">
                  <c:v>19.415932870610145</c:v>
                </c:pt>
                <c:pt idx="2">
                  <c:v>19.415932870610145</c:v>
                </c:pt>
                <c:pt idx="3">
                  <c:v>19.415932870610145</c:v>
                </c:pt>
                <c:pt idx="4">
                  <c:v>19.415932870610145</c:v>
                </c:pt>
                <c:pt idx="5">
                  <c:v>19.415932870610145</c:v>
                </c:pt>
                <c:pt idx="6">
                  <c:v>19.415932870610145</c:v>
                </c:pt>
                <c:pt idx="7">
                  <c:v>19.415932870610145</c:v>
                </c:pt>
                <c:pt idx="8">
                  <c:v>19.415932870610145</c:v>
                </c:pt>
                <c:pt idx="9">
                  <c:v>19.415932870610145</c:v>
                </c:pt>
                <c:pt idx="10">
                  <c:v>19.415932870610145</c:v>
                </c:pt>
                <c:pt idx="11">
                  <c:v>19.415932870610145</c:v>
                </c:pt>
                <c:pt idx="12">
                  <c:v>19.415932870610145</c:v>
                </c:pt>
                <c:pt idx="13">
                  <c:v>19.415932870610145</c:v>
                </c:pt>
                <c:pt idx="14">
                  <c:v>19.415932870610145</c:v>
                </c:pt>
                <c:pt idx="15">
                  <c:v>19.415932870610145</c:v>
                </c:pt>
                <c:pt idx="16">
                  <c:v>19.415932870610145</c:v>
                </c:pt>
                <c:pt idx="17">
                  <c:v>19.415932870610145</c:v>
                </c:pt>
                <c:pt idx="18">
                  <c:v>19.415932870610145</c:v>
                </c:pt>
                <c:pt idx="19">
                  <c:v>19.415932870610145</c:v>
                </c:pt>
                <c:pt idx="20">
                  <c:v>19.415932870610145</c:v>
                </c:pt>
                <c:pt idx="21">
                  <c:v>19.415932870610145</c:v>
                </c:pt>
                <c:pt idx="22">
                  <c:v>19.415932870610145</c:v>
                </c:pt>
                <c:pt idx="23">
                  <c:v>19.415932870610145</c:v>
                </c:pt>
                <c:pt idx="24">
                  <c:v>19.415932870610145</c:v>
                </c:pt>
                <c:pt idx="25">
                  <c:v>19.415932870610145</c:v>
                </c:pt>
                <c:pt idx="26">
                  <c:v>19.415932870610145</c:v>
                </c:pt>
                <c:pt idx="27">
                  <c:v>19.415932870610145</c:v>
                </c:pt>
                <c:pt idx="28">
                  <c:v>19.415932870610145</c:v>
                </c:pt>
                <c:pt idx="29">
                  <c:v>19.415932870610145</c:v>
                </c:pt>
                <c:pt idx="30">
                  <c:v>19.415932870610145</c:v>
                </c:pt>
                <c:pt idx="31">
                  <c:v>19.415932870610145</c:v>
                </c:pt>
                <c:pt idx="32">
                  <c:v>19.415932870610145</c:v>
                </c:pt>
                <c:pt idx="33">
                  <c:v>19.415932870610145</c:v>
                </c:pt>
                <c:pt idx="34">
                  <c:v>19.415932870610145</c:v>
                </c:pt>
                <c:pt idx="35">
                  <c:v>19.415932870610145</c:v>
                </c:pt>
                <c:pt idx="36">
                  <c:v>19.415932870610145</c:v>
                </c:pt>
                <c:pt idx="37">
                  <c:v>19.415932870610145</c:v>
                </c:pt>
                <c:pt idx="38">
                  <c:v>19.415932870610145</c:v>
                </c:pt>
                <c:pt idx="39">
                  <c:v>19.415932870610145</c:v>
                </c:pt>
                <c:pt idx="40">
                  <c:v>19.415932870610145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1-42A9-A0FB-2391ADF69855}"/>
            </c:ext>
          </c:extLst>
        </c:ser>
        <c:ser>
          <c:idx val="2"/>
          <c:order val="2"/>
          <c:tx>
            <c:strRef>
              <c:f>'Agent Performance'!$P$4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5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'Agent Performance'!$L$5:$L$45</c:f>
              <c:strCache>
                <c:ptCount val="41"/>
                <c:pt idx="0">
                  <c:v>Ahmed Afifi</c:v>
                </c:pt>
                <c:pt idx="1">
                  <c:v>Alessandro Passariello</c:v>
                </c:pt>
                <c:pt idx="2">
                  <c:v>Alessia Gaspardi</c:v>
                </c:pt>
                <c:pt idx="3">
                  <c:v>Alice Di Pace</c:v>
                </c:pt>
                <c:pt idx="4">
                  <c:v>Alice Galbussera</c:v>
                </c:pt>
                <c:pt idx="5">
                  <c:v>Ambra Ramella</c:v>
                </c:pt>
                <c:pt idx="6">
                  <c:v>Antonella Pedroni</c:v>
                </c:pt>
                <c:pt idx="7">
                  <c:v>Antonio Commisso</c:v>
                </c:pt>
                <c:pt idx="8">
                  <c:v>Asia Chirullo</c:v>
                </c:pt>
                <c:pt idx="9">
                  <c:v>Beatrice Binotto</c:v>
                </c:pt>
                <c:pt idx="10">
                  <c:v>Daniela Sandrini</c:v>
                </c:pt>
                <c:pt idx="11">
                  <c:v>Daniele Petrellese</c:v>
                </c:pt>
                <c:pt idx="12">
                  <c:v>Davide Parisi</c:v>
                </c:pt>
                <c:pt idx="13">
                  <c:v>Eleonora Sissa</c:v>
                </c:pt>
                <c:pt idx="14">
                  <c:v>Eros Allonato</c:v>
                </c:pt>
                <c:pt idx="15">
                  <c:v>Francesca Garotta</c:v>
                </c:pt>
                <c:pt idx="16">
                  <c:v>Francesco Carnevali</c:v>
                </c:pt>
                <c:pt idx="17">
                  <c:v>Gabriele Giannini</c:v>
                </c:pt>
                <c:pt idx="18">
                  <c:v>Gianluca Penza</c:v>
                </c:pt>
                <c:pt idx="19">
                  <c:v>Giulia Gnocchi</c:v>
                </c:pt>
                <c:pt idx="20">
                  <c:v>Glenda Medola</c:v>
                </c:pt>
                <c:pt idx="21">
                  <c:v>Greta Levati</c:v>
                </c:pt>
                <c:pt idx="22">
                  <c:v>Kaotar Garaoui</c:v>
                </c:pt>
                <c:pt idx="23">
                  <c:v>Lorenzo Barbieri</c:v>
                </c:pt>
                <c:pt idx="24">
                  <c:v>Lucia Serafini</c:v>
                </c:pt>
                <c:pt idx="25">
                  <c:v>Martina Pace</c:v>
                </c:pt>
                <c:pt idx="26">
                  <c:v>Matteo Perrone</c:v>
                </c:pt>
                <c:pt idx="27">
                  <c:v>Matteo Valzasina</c:v>
                </c:pt>
                <c:pt idx="28">
                  <c:v>Miriam De Pasquale</c:v>
                </c:pt>
                <c:pt idx="29">
                  <c:v>Nadiia Ariefieva</c:v>
                </c:pt>
                <c:pt idx="30">
                  <c:v>Nicolas  Raigoso</c:v>
                </c:pt>
                <c:pt idx="31">
                  <c:v>Nicolo Pedicini</c:v>
                </c:pt>
                <c:pt idx="32">
                  <c:v>Nora Ed Dahir</c:v>
                </c:pt>
                <c:pt idx="33">
                  <c:v>Penda Diop</c:v>
                </c:pt>
                <c:pt idx="34">
                  <c:v>Sabrina Xeka</c:v>
                </c:pt>
                <c:pt idx="35">
                  <c:v>Samuele Naldi</c:v>
                </c:pt>
                <c:pt idx="36">
                  <c:v>Simone Pia</c:v>
                </c:pt>
                <c:pt idx="37">
                  <c:v>Stefano Marchini</c:v>
                </c:pt>
                <c:pt idx="38">
                  <c:v>Valentina Rozza</c:v>
                </c:pt>
                <c:pt idx="39">
                  <c:v>Viktoriia Lavrinets</c:v>
                </c:pt>
                <c:pt idx="40">
                  <c:v>Wissal Fadli</c:v>
                </c:pt>
              </c:strCache>
            </c:strRef>
          </c:cat>
          <c:val>
            <c:numRef>
              <c:f>'Agent Performance'!$P$5:$P$45</c:f>
              <c:numCache>
                <c:formatCode>0.00</c:formatCode>
                <c:ptCount val="41"/>
                <c:pt idx="0">
                  <c:v>19.083333333333332</c:v>
                </c:pt>
                <c:pt idx="1">
                  <c:v>19.083333333333332</c:v>
                </c:pt>
                <c:pt idx="2">
                  <c:v>19.083333333333332</c:v>
                </c:pt>
                <c:pt idx="3">
                  <c:v>19.083333333333332</c:v>
                </c:pt>
                <c:pt idx="4">
                  <c:v>19.083333333333332</c:v>
                </c:pt>
                <c:pt idx="5">
                  <c:v>19.083333333333332</c:v>
                </c:pt>
                <c:pt idx="6">
                  <c:v>19.083333333333332</c:v>
                </c:pt>
                <c:pt idx="7">
                  <c:v>19.083333333333332</c:v>
                </c:pt>
                <c:pt idx="8">
                  <c:v>19.083333333333332</c:v>
                </c:pt>
                <c:pt idx="9">
                  <c:v>19.083333333333332</c:v>
                </c:pt>
                <c:pt idx="10">
                  <c:v>19.083333333333332</c:v>
                </c:pt>
                <c:pt idx="11">
                  <c:v>19.083333333333332</c:v>
                </c:pt>
                <c:pt idx="12">
                  <c:v>19.083333333333332</c:v>
                </c:pt>
                <c:pt idx="13">
                  <c:v>19.083333333333332</c:v>
                </c:pt>
                <c:pt idx="14">
                  <c:v>19.083333333333332</c:v>
                </c:pt>
                <c:pt idx="15">
                  <c:v>19.083333333333332</c:v>
                </c:pt>
                <c:pt idx="16">
                  <c:v>19.083333333333332</c:v>
                </c:pt>
                <c:pt idx="17">
                  <c:v>19.083333333333332</c:v>
                </c:pt>
                <c:pt idx="18">
                  <c:v>19.083333333333332</c:v>
                </c:pt>
                <c:pt idx="19">
                  <c:v>19.083333333333332</c:v>
                </c:pt>
                <c:pt idx="20">
                  <c:v>19.083333333333332</c:v>
                </c:pt>
                <c:pt idx="21">
                  <c:v>19.083333333333332</c:v>
                </c:pt>
                <c:pt idx="22">
                  <c:v>19.083333333333332</c:v>
                </c:pt>
                <c:pt idx="23">
                  <c:v>19.083333333333332</c:v>
                </c:pt>
                <c:pt idx="24">
                  <c:v>19.083333333333332</c:v>
                </c:pt>
                <c:pt idx="25">
                  <c:v>19.083333333333332</c:v>
                </c:pt>
                <c:pt idx="26">
                  <c:v>19.083333333333332</c:v>
                </c:pt>
                <c:pt idx="27">
                  <c:v>19.083333333333332</c:v>
                </c:pt>
                <c:pt idx="28">
                  <c:v>19.083333333333332</c:v>
                </c:pt>
                <c:pt idx="29">
                  <c:v>19.083333333333332</c:v>
                </c:pt>
                <c:pt idx="30">
                  <c:v>19.083333333333332</c:v>
                </c:pt>
                <c:pt idx="31">
                  <c:v>19.083333333333332</c:v>
                </c:pt>
                <c:pt idx="32">
                  <c:v>19.083333333333332</c:v>
                </c:pt>
                <c:pt idx="33">
                  <c:v>19.083333333333332</c:v>
                </c:pt>
                <c:pt idx="34">
                  <c:v>19.083333333333332</c:v>
                </c:pt>
                <c:pt idx="35">
                  <c:v>19.083333333333332</c:v>
                </c:pt>
                <c:pt idx="36">
                  <c:v>19.083333333333332</c:v>
                </c:pt>
                <c:pt idx="37">
                  <c:v>19.083333333333332</c:v>
                </c:pt>
                <c:pt idx="38">
                  <c:v>19.083333333333332</c:v>
                </c:pt>
                <c:pt idx="39">
                  <c:v>19.083333333333332</c:v>
                </c:pt>
                <c:pt idx="40">
                  <c:v>19.083333333333332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1-42A9-A0FB-2391ADF69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391055"/>
        <c:axId val="1371399215"/>
      </c:radarChart>
      <c:catAx>
        <c:axId val="13713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99215"/>
        <c:crosses val="autoZero"/>
        <c:auto val="1"/>
        <c:lblAlgn val="ctr"/>
        <c:lblOffset val="100"/>
        <c:noMultiLvlLbl val="0"/>
      </c:catAx>
      <c:valAx>
        <c:axId val="1371399215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39105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271894</xdr:colOff>
      <xdr:row>48</xdr:row>
      <xdr:rowOff>91785</xdr:rowOff>
    </xdr:from>
    <xdr:to>
      <xdr:col>24</xdr:col>
      <xdr:colOff>34636</xdr:colOff>
      <xdr:row>88</xdr:row>
      <xdr:rowOff>51954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0741ECD-A8D9-47CA-B228-7DAE1392C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324969</xdr:colOff>
      <xdr:row>1</xdr:row>
      <xdr:rowOff>186016</xdr:rowOff>
    </xdr:from>
    <xdr:to>
      <xdr:col>39</xdr:col>
      <xdr:colOff>190500</xdr:colOff>
      <xdr:row>41</xdr:row>
      <xdr:rowOff>122465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FD56A62-7CF5-4F09-A570-09C9E2E71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326570</xdr:colOff>
      <xdr:row>42</xdr:row>
      <xdr:rowOff>186417</xdr:rowOff>
    </xdr:from>
    <xdr:to>
      <xdr:col>39</xdr:col>
      <xdr:colOff>204106</xdr:colOff>
      <xdr:row>80</xdr:row>
      <xdr:rowOff>81643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0864844-5A80-44AF-9EB3-B7E0A7415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EG CC">
  <a:themeElements>
    <a:clrScheme name="Expedia Grou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99"/>
      </a:accent1>
      <a:accent2>
        <a:srgbClr val="F58025"/>
      </a:accent2>
      <a:accent3>
        <a:srgbClr val="00B1FF"/>
      </a:accent3>
      <a:accent4>
        <a:srgbClr val="939598"/>
      </a:accent4>
      <a:accent5>
        <a:srgbClr val="FFC60B"/>
      </a:accent5>
      <a:accent6>
        <a:srgbClr val="CB2C30"/>
      </a:accent6>
      <a:hlink>
        <a:srgbClr val="00B1FF"/>
      </a:hlink>
      <a:folHlink>
        <a:srgbClr val="F5802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G CC" id="{C3DE831E-3E6D-4F60-8B55-DCBE052A1074}" vid="{AFD3ACB2-B6B5-47A8-8BF5-2B4D7B3DB4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5416-9F2F-4334-BD6D-7EAB19B0352D}">
  <sheetPr codeName="Foglio1">
    <tabColor theme="9"/>
  </sheetPr>
  <dimension ref="B1:AY48"/>
  <sheetViews>
    <sheetView tabSelected="1" topLeftCell="P1" zoomScale="85" zoomScaleNormal="85" workbookViewId="0">
      <selection activeCell="Y1" sqref="Y1"/>
    </sheetView>
  </sheetViews>
  <sheetFormatPr defaultRowHeight="15" x14ac:dyDescent="0.25"/>
  <cols>
    <col min="1" max="1" width="23" bestFit="1" customWidth="1"/>
    <col min="2" max="2" width="17.28515625" bestFit="1" customWidth="1"/>
    <col min="3" max="3" width="7.7109375" customWidth="1"/>
    <col min="5" max="5" width="21.140625" customWidth="1"/>
    <col min="6" max="6" width="5.5703125" customWidth="1"/>
    <col min="8" max="8" width="9.5703125" customWidth="1"/>
    <col min="10" max="10" width="17.28515625" customWidth="1"/>
    <col min="11" max="11" width="2.7109375" customWidth="1"/>
    <col min="12" max="12" width="21.140625" customWidth="1"/>
    <col min="13" max="13" width="5.5703125" customWidth="1"/>
    <col min="14" max="14" width="7.7109375" customWidth="1"/>
    <col min="17" max="17" width="13.140625" customWidth="1"/>
    <col min="18" max="18" width="2.85546875" customWidth="1"/>
    <col min="19" max="19" width="21.140625" customWidth="1"/>
    <col min="20" max="20" width="12.140625" customWidth="1"/>
    <col min="21" max="21" width="21.140625" customWidth="1"/>
    <col min="23" max="23" width="12.140625" customWidth="1"/>
    <col min="24" max="24" width="21.140625" customWidth="1"/>
  </cols>
  <sheetData>
    <row r="1" spans="2:51" x14ac:dyDescent="0.25">
      <c r="B1" s="28"/>
      <c r="AY1" t="s">
        <v>51</v>
      </c>
    </row>
    <row r="2" spans="2:51" ht="15.75" thickBot="1" x14ac:dyDescent="0.3"/>
    <row r="3" spans="2:51" ht="15.75" thickBot="1" x14ac:dyDescent="0.3">
      <c r="E3" s="29" t="s">
        <v>50</v>
      </c>
      <c r="F3" s="30"/>
      <c r="G3" s="30"/>
      <c r="H3" s="30"/>
      <c r="I3" s="30"/>
      <c r="J3" s="31"/>
      <c r="L3" s="29" t="s">
        <v>49</v>
      </c>
      <c r="M3" s="30"/>
      <c r="N3" s="30"/>
      <c r="O3" s="30"/>
      <c r="P3" s="30"/>
      <c r="Q3" s="31"/>
      <c r="S3" s="32" t="s">
        <v>48</v>
      </c>
      <c r="T3" s="33"/>
      <c r="U3" s="33"/>
      <c r="V3" s="33"/>
      <c r="W3" s="33"/>
      <c r="X3" s="34"/>
    </row>
    <row r="4" spans="2:51" ht="15.75" thickBot="1" x14ac:dyDescent="0.3">
      <c r="E4" s="26" t="s">
        <v>46</v>
      </c>
      <c r="F4" s="25" t="s">
        <v>45</v>
      </c>
      <c r="G4" s="25" t="s">
        <v>47</v>
      </c>
      <c r="H4" s="25" t="s">
        <v>44</v>
      </c>
      <c r="I4" s="25" t="s">
        <v>43</v>
      </c>
      <c r="J4" s="24" t="s">
        <v>41</v>
      </c>
      <c r="K4" s="27"/>
      <c r="L4" s="26" t="s">
        <v>46</v>
      </c>
      <c r="M4" s="25" t="s">
        <v>45</v>
      </c>
      <c r="N4" s="25" t="s">
        <v>47</v>
      </c>
      <c r="O4" s="25" t="s">
        <v>44</v>
      </c>
      <c r="P4" s="25" t="s">
        <v>43</v>
      </c>
      <c r="Q4" s="24" t="s">
        <v>41</v>
      </c>
      <c r="S4" s="23" t="s">
        <v>46</v>
      </c>
      <c r="T4" s="22" t="s">
        <v>45</v>
      </c>
      <c r="U4" s="22" t="s">
        <v>44</v>
      </c>
      <c r="V4" s="22" t="s">
        <v>43</v>
      </c>
      <c r="W4" s="22" t="s">
        <v>42</v>
      </c>
      <c r="X4" s="21" t="s">
        <v>41</v>
      </c>
      <c r="AA4" s="1"/>
    </row>
    <row r="5" spans="2:51" x14ac:dyDescent="0.25">
      <c r="E5" s="20" t="s">
        <v>18</v>
      </c>
      <c r="F5" s="19">
        <v>8.5069306930693109</v>
      </c>
      <c r="G5" s="16">
        <v>106</v>
      </c>
      <c r="H5" s="19">
        <v>19.415932870610145</v>
      </c>
      <c r="I5" s="16">
        <v>20</v>
      </c>
      <c r="J5" s="15">
        <f t="shared" ref="J5" si="0">G5/22</f>
        <v>4.8181818181818183</v>
      </c>
      <c r="L5" s="18" t="s">
        <v>18</v>
      </c>
      <c r="M5" s="19">
        <v>17.288461538461533</v>
      </c>
      <c r="N5" s="16">
        <v>156</v>
      </c>
      <c r="O5" s="19">
        <v>19.415932870610145</v>
      </c>
      <c r="P5" s="19">
        <v>19.083333333333332</v>
      </c>
      <c r="Q5" s="15">
        <f t="shared" ref="Q5" si="1">N5/22</f>
        <v>7.0909090909090908</v>
      </c>
      <c r="S5" s="18" t="s">
        <v>21</v>
      </c>
      <c r="T5" s="17">
        <v>48.685714285714283</v>
      </c>
      <c r="U5" s="17">
        <v>17.299477019627226</v>
      </c>
      <c r="V5" s="17">
        <v>19.541666666666664</v>
      </c>
      <c r="W5" s="16">
        <v>146</v>
      </c>
      <c r="X5" s="15">
        <f t="shared" ref="X5:X37" si="2">W5/22</f>
        <v>6.6363636363636367</v>
      </c>
    </row>
    <row r="6" spans="2:51" x14ac:dyDescent="0.25">
      <c r="E6" s="13" t="s">
        <v>34</v>
      </c>
      <c r="F6" s="8">
        <v>17.275609756097563</v>
      </c>
      <c r="G6" s="9">
        <v>215</v>
      </c>
      <c r="H6" s="8">
        <v>19.415932870610145</v>
      </c>
      <c r="I6" s="9">
        <v>20</v>
      </c>
      <c r="J6" s="7">
        <f t="shared" ref="J6:J45" si="3">G6/22</f>
        <v>9.7727272727272734</v>
      </c>
      <c r="L6" s="10" t="s">
        <v>34</v>
      </c>
      <c r="M6" s="8">
        <v>19.759322033898307</v>
      </c>
      <c r="N6" s="9">
        <v>177</v>
      </c>
      <c r="O6" s="8">
        <v>19.415932870610145</v>
      </c>
      <c r="P6" s="8">
        <v>19.083333333333332</v>
      </c>
      <c r="Q6" s="7">
        <f t="shared" ref="Q6:Q46" si="4">N6/22</f>
        <v>8.045454545454545</v>
      </c>
      <c r="S6" s="10" t="s">
        <v>2</v>
      </c>
      <c r="T6" s="14">
        <v>31.34244604316547</v>
      </c>
      <c r="U6" s="14">
        <v>17.299477019627226</v>
      </c>
      <c r="V6" s="14">
        <v>19.541666666666664</v>
      </c>
      <c r="W6" s="9">
        <v>340</v>
      </c>
      <c r="X6" s="7">
        <f t="shared" si="2"/>
        <v>15.454545454545455</v>
      </c>
    </row>
    <row r="7" spans="2:51" x14ac:dyDescent="0.25">
      <c r="E7" s="13" t="s">
        <v>32</v>
      </c>
      <c r="F7" s="8">
        <v>12.990532544378693</v>
      </c>
      <c r="G7" s="9">
        <v>221</v>
      </c>
      <c r="H7" s="8">
        <v>19.415932870610145</v>
      </c>
      <c r="I7" s="9">
        <v>20</v>
      </c>
      <c r="J7" s="7">
        <f t="shared" si="3"/>
        <v>10.045454545454545</v>
      </c>
      <c r="L7" s="10" t="s">
        <v>32</v>
      </c>
      <c r="M7" s="8">
        <v>20.368641114982573</v>
      </c>
      <c r="N7" s="9">
        <v>287</v>
      </c>
      <c r="O7" s="8">
        <v>19.415932870610145</v>
      </c>
      <c r="P7" s="8">
        <v>19.083333333333332</v>
      </c>
      <c r="Q7" s="7">
        <f t="shared" si="4"/>
        <v>13.045454545454545</v>
      </c>
      <c r="S7" s="10" t="s">
        <v>35</v>
      </c>
      <c r="T7" s="14">
        <v>30.025609756097559</v>
      </c>
      <c r="U7" s="14">
        <v>17.299477019627226</v>
      </c>
      <c r="V7" s="14">
        <v>19.541666666666664</v>
      </c>
      <c r="W7" s="9">
        <v>361</v>
      </c>
      <c r="X7" s="7">
        <f t="shared" si="2"/>
        <v>16.40909090909091</v>
      </c>
    </row>
    <row r="8" spans="2:51" x14ac:dyDescent="0.25">
      <c r="E8" s="13" t="s">
        <v>33</v>
      </c>
      <c r="F8" s="8">
        <v>14.322857142857149</v>
      </c>
      <c r="G8" s="9">
        <v>96</v>
      </c>
      <c r="H8" s="8">
        <v>19.415932870610145</v>
      </c>
      <c r="I8" s="9">
        <v>20</v>
      </c>
      <c r="J8" s="7">
        <f t="shared" si="3"/>
        <v>4.3636363636363633</v>
      </c>
      <c r="L8" s="10" t="s">
        <v>33</v>
      </c>
      <c r="M8" s="8">
        <v>19.95505617977528</v>
      </c>
      <c r="N8" s="9">
        <v>178</v>
      </c>
      <c r="O8" s="8">
        <v>19.415932870610145</v>
      </c>
      <c r="P8" s="8">
        <v>19.083333333333332</v>
      </c>
      <c r="Q8" s="7">
        <f t="shared" si="4"/>
        <v>8.0909090909090917</v>
      </c>
      <c r="S8" s="10" t="s">
        <v>31</v>
      </c>
      <c r="T8" s="14">
        <v>25.895705521472394</v>
      </c>
      <c r="U8" s="14">
        <v>17.299477019627226</v>
      </c>
      <c r="V8" s="14">
        <v>19.541666666666664</v>
      </c>
      <c r="W8" s="9">
        <v>213</v>
      </c>
      <c r="X8" s="7">
        <f t="shared" si="2"/>
        <v>9.6818181818181817</v>
      </c>
    </row>
    <row r="9" spans="2:51" x14ac:dyDescent="0.25">
      <c r="E9" s="13" t="s">
        <v>37</v>
      </c>
      <c r="F9" s="8">
        <v>17.512258064516129</v>
      </c>
      <c r="G9" s="9">
        <v>193</v>
      </c>
      <c r="H9" s="8">
        <v>19.415932870610145</v>
      </c>
      <c r="I9" s="9">
        <v>20</v>
      </c>
      <c r="J9" s="7">
        <f t="shared" si="3"/>
        <v>8.7727272727272734</v>
      </c>
      <c r="L9" s="10" t="s">
        <v>37</v>
      </c>
      <c r="M9" s="8">
        <v>21.985559566787025</v>
      </c>
      <c r="N9" s="9">
        <v>277</v>
      </c>
      <c r="O9" s="8">
        <v>19.415932870610145</v>
      </c>
      <c r="P9" s="8">
        <v>19.083333333333332</v>
      </c>
      <c r="Q9" s="7">
        <f t="shared" si="4"/>
        <v>12.590909090909092</v>
      </c>
      <c r="S9" s="10" t="s">
        <v>39</v>
      </c>
      <c r="T9" s="14">
        <v>24.32456140350877</v>
      </c>
      <c r="U9" s="14">
        <v>17.299477019627226</v>
      </c>
      <c r="V9" s="14">
        <v>19.541666666666664</v>
      </c>
      <c r="W9" s="9">
        <v>351</v>
      </c>
      <c r="X9" s="7">
        <f t="shared" si="2"/>
        <v>15.954545454545455</v>
      </c>
    </row>
    <row r="10" spans="2:51" x14ac:dyDescent="0.25">
      <c r="E10" s="13" t="s">
        <v>40</v>
      </c>
      <c r="F10" s="8">
        <v>25.038095238095238</v>
      </c>
      <c r="G10" s="9">
        <v>76</v>
      </c>
      <c r="H10" s="8">
        <v>19.415932870610145</v>
      </c>
      <c r="I10" s="9">
        <v>20</v>
      </c>
      <c r="J10" s="7">
        <f t="shared" si="3"/>
        <v>3.4545454545454546</v>
      </c>
      <c r="L10" s="10" t="s">
        <v>40</v>
      </c>
      <c r="M10" s="8">
        <v>21.88481012658227</v>
      </c>
      <c r="N10" s="9">
        <v>158</v>
      </c>
      <c r="O10" s="8">
        <v>19.415932870610145</v>
      </c>
      <c r="P10" s="8">
        <v>19.083333333333332</v>
      </c>
      <c r="Q10" s="7">
        <f t="shared" si="4"/>
        <v>7.1818181818181817</v>
      </c>
      <c r="S10" s="10" t="s">
        <v>40</v>
      </c>
      <c r="T10" s="14">
        <v>22.783710407239806</v>
      </c>
      <c r="U10" s="14">
        <v>17.299477019627226</v>
      </c>
      <c r="V10" s="14">
        <v>19.541666666666664</v>
      </c>
      <c r="W10" s="9">
        <v>234</v>
      </c>
      <c r="X10" s="7">
        <f t="shared" si="2"/>
        <v>10.636363636363637</v>
      </c>
    </row>
    <row r="11" spans="2:51" x14ac:dyDescent="0.25">
      <c r="E11" s="13" t="s">
        <v>38</v>
      </c>
      <c r="F11" s="8">
        <v>20.563636363636366</v>
      </c>
      <c r="G11" s="9">
        <v>139</v>
      </c>
      <c r="H11" s="8">
        <v>19.415932870610145</v>
      </c>
      <c r="I11" s="9">
        <v>20</v>
      </c>
      <c r="J11" s="7">
        <f t="shared" si="3"/>
        <v>6.3181818181818183</v>
      </c>
      <c r="L11" s="10" t="s">
        <v>38</v>
      </c>
      <c r="M11" s="8">
        <v>21.691666666666652</v>
      </c>
      <c r="N11" s="9">
        <v>288</v>
      </c>
      <c r="O11" s="8">
        <v>19.415932870610145</v>
      </c>
      <c r="P11" s="8">
        <v>19.083333333333332</v>
      </c>
      <c r="Q11" s="7">
        <f t="shared" si="4"/>
        <v>13.090909090909092</v>
      </c>
      <c r="S11" s="10" t="s">
        <v>24</v>
      </c>
      <c r="T11" s="14">
        <v>22.700325732899021</v>
      </c>
      <c r="U11" s="14">
        <v>17.299477019627226</v>
      </c>
      <c r="V11" s="14">
        <v>19.541666666666664</v>
      </c>
      <c r="W11" s="9">
        <v>362</v>
      </c>
      <c r="X11" s="7">
        <f t="shared" si="2"/>
        <v>16.454545454545453</v>
      </c>
    </row>
    <row r="12" spans="2:51" x14ac:dyDescent="0.25">
      <c r="E12" s="13" t="s">
        <v>29</v>
      </c>
      <c r="F12" s="8">
        <v>14.345728643216081</v>
      </c>
      <c r="G12" s="9">
        <v>374</v>
      </c>
      <c r="H12" s="8">
        <v>19.415932870610145</v>
      </c>
      <c r="I12" s="9">
        <v>20</v>
      </c>
      <c r="J12" s="7">
        <f t="shared" si="3"/>
        <v>17</v>
      </c>
      <c r="L12" s="10" t="s">
        <v>29</v>
      </c>
      <c r="M12" s="8">
        <v>18.919148936170217</v>
      </c>
      <c r="N12" s="9">
        <v>329</v>
      </c>
      <c r="O12" s="8">
        <v>19.415932870610145</v>
      </c>
      <c r="P12" s="8">
        <v>19.083333333333332</v>
      </c>
      <c r="Q12" s="7">
        <f t="shared" si="4"/>
        <v>14.954545454545455</v>
      </c>
      <c r="S12" s="10" t="s">
        <v>10</v>
      </c>
      <c r="T12" s="14">
        <v>22.554135338345862</v>
      </c>
      <c r="U12" s="14">
        <v>17.299477019627226</v>
      </c>
      <c r="V12" s="14">
        <v>19.541666666666664</v>
      </c>
      <c r="W12" s="9">
        <v>275</v>
      </c>
      <c r="X12" s="7">
        <f t="shared" si="2"/>
        <v>12.5</v>
      </c>
    </row>
    <row r="13" spans="2:51" x14ac:dyDescent="0.25">
      <c r="E13" s="13" t="s">
        <v>39</v>
      </c>
      <c r="F13" s="8">
        <v>23.928888888888896</v>
      </c>
      <c r="G13" s="9">
        <v>144</v>
      </c>
      <c r="H13" s="8">
        <v>19.415932870610145</v>
      </c>
      <c r="I13" s="9">
        <v>20</v>
      </c>
      <c r="J13" s="7">
        <f t="shared" si="3"/>
        <v>6.5454545454545459</v>
      </c>
      <c r="L13" s="10" t="s">
        <v>39</v>
      </c>
      <c r="M13" s="8">
        <v>24.582608695652166</v>
      </c>
      <c r="N13" s="9">
        <v>207</v>
      </c>
      <c r="O13" s="8">
        <v>19.415932870610145</v>
      </c>
      <c r="P13" s="8">
        <v>19.083333333333332</v>
      </c>
      <c r="Q13" s="7">
        <f t="shared" si="4"/>
        <v>9.4090909090909083</v>
      </c>
      <c r="S13" s="10" t="s">
        <v>30</v>
      </c>
      <c r="T13" s="14">
        <v>21.953043478260852</v>
      </c>
      <c r="U13" s="14">
        <v>17.299477019627226</v>
      </c>
      <c r="V13" s="14">
        <v>19.541666666666664</v>
      </c>
      <c r="W13" s="9">
        <v>365</v>
      </c>
      <c r="X13" s="7">
        <f t="shared" si="2"/>
        <v>16.59090909090909</v>
      </c>
    </row>
    <row r="14" spans="2:51" x14ac:dyDescent="0.25">
      <c r="E14" s="13" t="s">
        <v>11</v>
      </c>
      <c r="F14" s="8">
        <v>10.232038834951453</v>
      </c>
      <c r="G14" s="9">
        <v>232</v>
      </c>
      <c r="H14" s="8">
        <v>19.415932870610145</v>
      </c>
      <c r="I14" s="9">
        <v>20</v>
      </c>
      <c r="J14" s="7">
        <f t="shared" si="3"/>
        <v>10.545454545454545</v>
      </c>
      <c r="L14" s="10" t="s">
        <v>11</v>
      </c>
      <c r="M14" s="8">
        <v>14.600000000000007</v>
      </c>
      <c r="N14" s="9">
        <v>342</v>
      </c>
      <c r="O14" s="8">
        <v>19.415932870610145</v>
      </c>
      <c r="P14" s="8">
        <v>19.083333333333332</v>
      </c>
      <c r="Q14" s="7">
        <f t="shared" si="4"/>
        <v>15.545454545454545</v>
      </c>
      <c r="S14" s="10" t="s">
        <v>38</v>
      </c>
      <c r="T14" s="14">
        <v>21.403100775193789</v>
      </c>
      <c r="U14" s="14">
        <v>17.299477019627226</v>
      </c>
      <c r="V14" s="14">
        <v>19.541666666666664</v>
      </c>
      <c r="W14" s="9">
        <v>427</v>
      </c>
      <c r="X14" s="7">
        <f t="shared" si="2"/>
        <v>19.40909090909091</v>
      </c>
    </row>
    <row r="15" spans="2:51" x14ac:dyDescent="0.25">
      <c r="E15" s="13" t="s">
        <v>22</v>
      </c>
      <c r="F15" s="8">
        <v>11.657142857142855</v>
      </c>
      <c r="G15" s="9">
        <v>216</v>
      </c>
      <c r="H15" s="8">
        <v>19.415932870610145</v>
      </c>
      <c r="I15" s="9">
        <v>20</v>
      </c>
      <c r="J15" s="7">
        <f t="shared" si="3"/>
        <v>9.8181818181818183</v>
      </c>
      <c r="L15" s="10" t="s">
        <v>22</v>
      </c>
      <c r="M15" s="8">
        <v>15.19077669902912</v>
      </c>
      <c r="N15" s="9">
        <v>412</v>
      </c>
      <c r="O15" s="8">
        <v>19.415932870610145</v>
      </c>
      <c r="P15" s="8">
        <v>19.083333333333332</v>
      </c>
      <c r="Q15" s="7">
        <f t="shared" si="4"/>
        <v>18.727272727272727</v>
      </c>
      <c r="S15" s="10" t="s">
        <v>23</v>
      </c>
      <c r="T15" s="14">
        <v>21.28446866485012</v>
      </c>
      <c r="U15" s="14">
        <v>17.299477019627226</v>
      </c>
      <c r="V15" s="14">
        <v>19.541666666666664</v>
      </c>
      <c r="W15" s="9">
        <v>424</v>
      </c>
      <c r="X15" s="7">
        <f t="shared" si="2"/>
        <v>19.272727272727273</v>
      </c>
    </row>
    <row r="16" spans="2:51" x14ac:dyDescent="0.25">
      <c r="E16" s="13" t="s">
        <v>25</v>
      </c>
      <c r="F16" s="8">
        <v>13.699547511312215</v>
      </c>
      <c r="G16" s="9">
        <v>233</v>
      </c>
      <c r="H16" s="8">
        <v>19.415932870610145</v>
      </c>
      <c r="I16" s="9">
        <v>20</v>
      </c>
      <c r="J16" s="7">
        <f t="shared" si="3"/>
        <v>10.590909090909092</v>
      </c>
      <c r="L16" s="10" t="s">
        <v>25</v>
      </c>
      <c r="M16" s="8">
        <v>16.493877551020415</v>
      </c>
      <c r="N16" s="9">
        <v>245</v>
      </c>
      <c r="O16" s="8">
        <v>19.415932870610145</v>
      </c>
      <c r="P16" s="8">
        <v>19.083333333333332</v>
      </c>
      <c r="Q16" s="7">
        <f t="shared" si="4"/>
        <v>11.136363636363637</v>
      </c>
      <c r="S16" s="10" t="s">
        <v>4</v>
      </c>
      <c r="T16" s="14">
        <v>21.131195335276995</v>
      </c>
      <c r="U16" s="14">
        <v>17.299477019627226</v>
      </c>
      <c r="V16" s="14">
        <v>19.541666666666664</v>
      </c>
      <c r="W16" s="9">
        <v>364</v>
      </c>
      <c r="X16" s="7">
        <f t="shared" si="2"/>
        <v>16.545454545454547</v>
      </c>
    </row>
    <row r="17" spans="5:24" x14ac:dyDescent="0.25">
      <c r="E17" s="13" t="s">
        <v>36</v>
      </c>
      <c r="F17" s="8">
        <v>16.682352941176472</v>
      </c>
      <c r="G17" s="9">
        <v>267</v>
      </c>
      <c r="H17" s="8">
        <v>19.415932870610145</v>
      </c>
      <c r="I17" s="9">
        <v>20</v>
      </c>
      <c r="J17" s="7">
        <f t="shared" si="3"/>
        <v>12.136363636363637</v>
      </c>
      <c r="L17" s="10" t="s">
        <v>36</v>
      </c>
      <c r="M17" s="8">
        <v>23.335384615384616</v>
      </c>
      <c r="N17" s="9">
        <v>130</v>
      </c>
      <c r="O17" s="8">
        <v>19.415932870610145</v>
      </c>
      <c r="P17" s="8">
        <v>19.083333333333332</v>
      </c>
      <c r="Q17" s="7">
        <f t="shared" si="4"/>
        <v>5.9090909090909092</v>
      </c>
      <c r="S17" s="10" t="s">
        <v>0</v>
      </c>
      <c r="T17" s="14">
        <v>21.034394904458598</v>
      </c>
      <c r="U17" s="14">
        <v>17.299477019627226</v>
      </c>
      <c r="V17" s="14">
        <v>19.541666666666664</v>
      </c>
      <c r="W17" s="9">
        <v>330</v>
      </c>
      <c r="X17" s="7">
        <f t="shared" si="2"/>
        <v>15</v>
      </c>
    </row>
    <row r="18" spans="5:24" x14ac:dyDescent="0.25">
      <c r="E18" s="13" t="s">
        <v>1</v>
      </c>
      <c r="F18" s="8">
        <v>5.5918367346938744</v>
      </c>
      <c r="G18" s="9">
        <v>394</v>
      </c>
      <c r="H18" s="8">
        <v>19.415932870610145</v>
      </c>
      <c r="I18" s="9">
        <v>20</v>
      </c>
      <c r="J18" s="7">
        <f t="shared" si="3"/>
        <v>17.90909090909091</v>
      </c>
      <c r="L18" s="10" t="s">
        <v>1</v>
      </c>
      <c r="M18" s="8">
        <v>13.097202797202787</v>
      </c>
      <c r="N18" s="9">
        <v>286</v>
      </c>
      <c r="O18" s="8">
        <v>19.415932870610145</v>
      </c>
      <c r="P18" s="8">
        <v>19.083333333333332</v>
      </c>
      <c r="Q18" s="7">
        <f>N18/22</f>
        <v>13</v>
      </c>
      <c r="S18" s="10" t="s">
        <v>19</v>
      </c>
      <c r="T18" s="14">
        <v>20.994249201277952</v>
      </c>
      <c r="U18" s="14">
        <v>17.299477019627226</v>
      </c>
      <c r="V18" s="14">
        <v>19.541666666666664</v>
      </c>
      <c r="W18" s="9">
        <v>353</v>
      </c>
      <c r="X18" s="7">
        <f t="shared" si="2"/>
        <v>16.045454545454547</v>
      </c>
    </row>
    <row r="19" spans="5:24" x14ac:dyDescent="0.25">
      <c r="E19" s="13" t="s">
        <v>5</v>
      </c>
      <c r="F19" s="8">
        <v>7.1594594594594634</v>
      </c>
      <c r="G19" s="9">
        <v>160</v>
      </c>
      <c r="H19" s="8">
        <v>19.415932870610145</v>
      </c>
      <c r="I19" s="9">
        <v>20</v>
      </c>
      <c r="J19" s="7">
        <f t="shared" si="3"/>
        <v>7.2727272727272725</v>
      </c>
      <c r="L19" s="10" t="s">
        <v>5</v>
      </c>
      <c r="M19" s="8">
        <v>12.47368421052631</v>
      </c>
      <c r="N19" s="9">
        <v>154</v>
      </c>
      <c r="O19" s="8">
        <v>19.415932870610145</v>
      </c>
      <c r="P19" s="8">
        <v>19.083333333333332</v>
      </c>
      <c r="Q19" s="7">
        <f>N19/22</f>
        <v>7</v>
      </c>
      <c r="S19" s="10" t="s">
        <v>37</v>
      </c>
      <c r="T19" s="14">
        <v>20.38055555555556</v>
      </c>
      <c r="U19" s="14">
        <v>17.299477019627226</v>
      </c>
      <c r="V19" s="14">
        <v>19.541666666666664</v>
      </c>
      <c r="W19" s="9">
        <v>470</v>
      </c>
      <c r="X19" s="7">
        <f t="shared" si="2"/>
        <v>21.363636363636363</v>
      </c>
    </row>
    <row r="20" spans="5:24" x14ac:dyDescent="0.25">
      <c r="E20" s="13" t="s">
        <v>28</v>
      </c>
      <c r="F20" s="8">
        <v>12.774074074074075</v>
      </c>
      <c r="G20" s="9">
        <v>164</v>
      </c>
      <c r="H20" s="8">
        <v>19.415932870610145</v>
      </c>
      <c r="I20" s="9">
        <v>20</v>
      </c>
      <c r="J20" s="7">
        <f t="shared" si="3"/>
        <v>7.4545454545454541</v>
      </c>
      <c r="L20" s="10" t="s">
        <v>28</v>
      </c>
      <c r="M20" s="8">
        <v>19.57830508474575</v>
      </c>
      <c r="N20" s="9">
        <v>295</v>
      </c>
      <c r="O20" s="8">
        <v>19.415932870610145</v>
      </c>
      <c r="P20" s="8">
        <v>19.083333333333332</v>
      </c>
      <c r="Q20" s="7">
        <f>N20/22</f>
        <v>13.409090909090908</v>
      </c>
      <c r="S20" s="10" t="s">
        <v>17</v>
      </c>
      <c r="T20" s="14">
        <v>19.581215469613259</v>
      </c>
      <c r="U20" s="14">
        <v>17.299477019627226</v>
      </c>
      <c r="V20" s="14">
        <v>19.541666666666664</v>
      </c>
      <c r="W20" s="9">
        <v>391</v>
      </c>
      <c r="X20" s="7">
        <f t="shared" si="2"/>
        <v>17.772727272727273</v>
      </c>
    </row>
    <row r="21" spans="5:24" x14ac:dyDescent="0.25">
      <c r="E21" s="13" t="s">
        <v>35</v>
      </c>
      <c r="F21" s="8">
        <v>32.986516853932592</v>
      </c>
      <c r="G21" s="9">
        <v>122</v>
      </c>
      <c r="H21" s="8">
        <v>19.415932870610145</v>
      </c>
      <c r="I21" s="9">
        <v>20</v>
      </c>
      <c r="J21" s="7">
        <f t="shared" si="3"/>
        <v>5.5454545454545459</v>
      </c>
      <c r="L21" s="10" t="s">
        <v>35</v>
      </c>
      <c r="M21" s="8">
        <v>28.923012552301255</v>
      </c>
      <c r="N21" s="9">
        <v>239</v>
      </c>
      <c r="O21" s="8">
        <v>19.415932870610145</v>
      </c>
      <c r="P21" s="8">
        <v>19.083333333333332</v>
      </c>
      <c r="Q21" s="7">
        <f>N21/22</f>
        <v>10.863636363636363</v>
      </c>
      <c r="S21" s="10" t="s">
        <v>27</v>
      </c>
      <c r="T21" s="14">
        <v>19.366311300639648</v>
      </c>
      <c r="U21" s="14">
        <v>17.299477019627226</v>
      </c>
      <c r="V21" s="14">
        <v>19.541666666666664</v>
      </c>
      <c r="W21" s="9">
        <v>568</v>
      </c>
      <c r="X21" s="7">
        <f t="shared" si="2"/>
        <v>25.818181818181817</v>
      </c>
    </row>
    <row r="22" spans="5:24" x14ac:dyDescent="0.25">
      <c r="E22" s="13" t="s">
        <v>20</v>
      </c>
      <c r="F22" s="8">
        <v>14.617894736842103</v>
      </c>
      <c r="G22" s="9">
        <v>211</v>
      </c>
      <c r="H22" s="8">
        <v>19.415932870610145</v>
      </c>
      <c r="I22" s="9">
        <v>20</v>
      </c>
      <c r="J22" s="7">
        <f t="shared" si="3"/>
        <v>9.5909090909090917</v>
      </c>
      <c r="L22" s="10" t="s">
        <v>20</v>
      </c>
      <c r="M22" s="8">
        <v>13.698611111111116</v>
      </c>
      <c r="N22" s="9">
        <v>432</v>
      </c>
      <c r="O22" s="8">
        <v>19.415932870610145</v>
      </c>
      <c r="P22" s="8">
        <v>19.083333333333332</v>
      </c>
      <c r="Q22" s="7">
        <f>N22/22</f>
        <v>19.636363636363637</v>
      </c>
      <c r="S22" s="10" t="s">
        <v>36</v>
      </c>
      <c r="T22" s="14">
        <v>18.928831168831167</v>
      </c>
      <c r="U22" s="14">
        <v>17.299477019627226</v>
      </c>
      <c r="V22" s="14">
        <v>19.541666666666664</v>
      </c>
      <c r="W22" s="9">
        <v>397</v>
      </c>
      <c r="X22" s="7">
        <f t="shared" si="2"/>
        <v>18.045454545454547</v>
      </c>
    </row>
    <row r="23" spans="5:24" x14ac:dyDescent="0.25">
      <c r="E23" s="13" t="s">
        <v>14</v>
      </c>
      <c r="F23" s="8">
        <v>11.393377483443707</v>
      </c>
      <c r="G23" s="9">
        <v>571</v>
      </c>
      <c r="H23" s="8">
        <v>19.415932870610145</v>
      </c>
      <c r="I23" s="9">
        <v>20</v>
      </c>
      <c r="J23" s="7">
        <f t="shared" si="3"/>
        <v>25.954545454545453</v>
      </c>
      <c r="L23" s="10" t="s">
        <v>14</v>
      </c>
      <c r="M23" s="8">
        <v>15.844785276073619</v>
      </c>
      <c r="N23" s="9">
        <v>326</v>
      </c>
      <c r="O23" s="8">
        <v>19.415932870610145</v>
      </c>
      <c r="P23" s="8">
        <v>19.083333333333332</v>
      </c>
      <c r="Q23" s="7">
        <f>N23/22</f>
        <v>14.818181818181818</v>
      </c>
      <c r="S23" s="10" t="s">
        <v>34</v>
      </c>
      <c r="T23" s="14">
        <v>18.564809384164224</v>
      </c>
      <c r="U23" s="14">
        <v>17.299477019627226</v>
      </c>
      <c r="V23" s="14">
        <v>19.541666666666664</v>
      </c>
      <c r="W23" s="9">
        <v>392</v>
      </c>
      <c r="X23" s="7">
        <f t="shared" si="2"/>
        <v>17.818181818181817</v>
      </c>
    </row>
    <row r="24" spans="5:24" x14ac:dyDescent="0.25">
      <c r="E24" s="13" t="s">
        <v>7</v>
      </c>
      <c r="F24" s="8">
        <v>7.6669950738916279</v>
      </c>
      <c r="G24" s="9">
        <v>233</v>
      </c>
      <c r="H24" s="8">
        <v>19.415932870610145</v>
      </c>
      <c r="I24" s="9">
        <v>20</v>
      </c>
      <c r="J24" s="7">
        <f t="shared" si="3"/>
        <v>10.590909090909092</v>
      </c>
      <c r="L24" s="10" t="s">
        <v>7</v>
      </c>
      <c r="M24" s="8">
        <v>12.618461538461542</v>
      </c>
      <c r="N24" s="9">
        <v>260</v>
      </c>
      <c r="O24" s="8">
        <v>19.415932870610145</v>
      </c>
      <c r="P24" s="8">
        <v>19.083333333333332</v>
      </c>
      <c r="Q24" s="7">
        <f>N24/22</f>
        <v>11.818181818181818</v>
      </c>
      <c r="S24" s="10" t="s">
        <v>33</v>
      </c>
      <c r="T24" s="14">
        <v>18.365322580645149</v>
      </c>
      <c r="U24" s="14">
        <v>17.299477019627226</v>
      </c>
      <c r="V24" s="14">
        <v>19.541666666666664</v>
      </c>
      <c r="W24" s="9">
        <v>274</v>
      </c>
      <c r="X24" s="7">
        <f t="shared" si="2"/>
        <v>12.454545454545455</v>
      </c>
    </row>
    <row r="25" spans="5:24" x14ac:dyDescent="0.25">
      <c r="E25" s="13" t="s">
        <v>3</v>
      </c>
      <c r="F25" s="8">
        <v>5.6325925925925642</v>
      </c>
      <c r="G25" s="9">
        <v>547</v>
      </c>
      <c r="H25" s="8">
        <v>19.415932870610145</v>
      </c>
      <c r="I25" s="9">
        <v>20</v>
      </c>
      <c r="J25" s="7">
        <f t="shared" si="3"/>
        <v>24.863636363636363</v>
      </c>
      <c r="L25" s="10" t="s">
        <v>3</v>
      </c>
      <c r="M25" s="8">
        <v>14.40575079872205</v>
      </c>
      <c r="N25" s="9">
        <v>313</v>
      </c>
      <c r="O25" s="8">
        <v>19.415932870610145</v>
      </c>
      <c r="P25" s="8">
        <v>19.083333333333332</v>
      </c>
      <c r="Q25" s="7">
        <f>N25/22</f>
        <v>14.227272727272727</v>
      </c>
      <c r="S25" s="10" t="s">
        <v>13</v>
      </c>
      <c r="T25" s="14">
        <v>17.927152317880811</v>
      </c>
      <c r="U25" s="14">
        <v>17.299477019627226</v>
      </c>
      <c r="V25" s="14">
        <v>19.541666666666664</v>
      </c>
      <c r="W25" s="9">
        <v>476</v>
      </c>
      <c r="X25" s="7">
        <f t="shared" si="2"/>
        <v>21.636363636363637</v>
      </c>
    </row>
    <row r="26" spans="5:24" x14ac:dyDescent="0.25">
      <c r="E26" s="13" t="s">
        <v>31</v>
      </c>
      <c r="F26" s="8">
        <v>35.189189189189186</v>
      </c>
      <c r="G26" s="9">
        <v>87</v>
      </c>
      <c r="H26" s="8">
        <v>19.415932870610145</v>
      </c>
      <c r="I26" s="9">
        <v>20</v>
      </c>
      <c r="J26" s="7">
        <f t="shared" si="3"/>
        <v>3.9545454545454546</v>
      </c>
      <c r="L26" s="10" t="s">
        <v>31</v>
      </c>
      <c r="M26" s="8">
        <v>23.166666666666671</v>
      </c>
      <c r="N26" s="9">
        <v>126</v>
      </c>
      <c r="O26" s="8">
        <v>19.415932870610145</v>
      </c>
      <c r="P26" s="8">
        <v>19.083333333333332</v>
      </c>
      <c r="Q26" s="7">
        <f>N26/22</f>
        <v>5.7272727272727275</v>
      </c>
      <c r="S26" s="10" t="s">
        <v>26</v>
      </c>
      <c r="T26" s="14">
        <v>17.839534883720916</v>
      </c>
      <c r="U26" s="14">
        <v>17.299477019627226</v>
      </c>
      <c r="V26" s="14">
        <v>19.541666666666664</v>
      </c>
      <c r="W26" s="9">
        <v>506</v>
      </c>
      <c r="X26" s="7">
        <f t="shared" si="2"/>
        <v>23</v>
      </c>
    </row>
    <row r="27" spans="5:24" x14ac:dyDescent="0.25">
      <c r="E27" s="13" t="s">
        <v>30</v>
      </c>
      <c r="F27" s="8">
        <v>19.997368421052638</v>
      </c>
      <c r="G27" s="9">
        <v>172</v>
      </c>
      <c r="H27" s="8">
        <v>19.415932870610145</v>
      </c>
      <c r="I27" s="9">
        <v>20</v>
      </c>
      <c r="J27" s="7">
        <f t="shared" si="3"/>
        <v>7.8181818181818183</v>
      </c>
      <c r="L27" s="10" t="s">
        <v>30</v>
      </c>
      <c r="M27" s="8">
        <v>23.493264248704651</v>
      </c>
      <c r="N27" s="9">
        <v>193</v>
      </c>
      <c r="O27" s="8">
        <v>19.415932870610145</v>
      </c>
      <c r="P27" s="8">
        <v>19.083333333333332</v>
      </c>
      <c r="Q27" s="7">
        <f>N27/22</f>
        <v>8.7727272727272734</v>
      </c>
      <c r="S27" s="10" t="s">
        <v>32</v>
      </c>
      <c r="T27" s="14">
        <v>17.634210526315794</v>
      </c>
      <c r="U27" s="14">
        <v>17.299477019627226</v>
      </c>
      <c r="V27" s="14">
        <v>19.541666666666664</v>
      </c>
      <c r="W27" s="9">
        <v>508</v>
      </c>
      <c r="X27" s="7">
        <f t="shared" si="2"/>
        <v>23.09090909090909</v>
      </c>
    </row>
    <row r="28" spans="5:24" x14ac:dyDescent="0.25">
      <c r="E28" s="13" t="s">
        <v>27</v>
      </c>
      <c r="F28" s="8">
        <v>17.412162162162172</v>
      </c>
      <c r="G28" s="9">
        <v>247</v>
      </c>
      <c r="H28" s="8">
        <v>19.415932870610145</v>
      </c>
      <c r="I28" s="9">
        <v>20</v>
      </c>
      <c r="J28" s="7">
        <f t="shared" si="3"/>
        <v>11.227272727272727</v>
      </c>
      <c r="L28" s="10" t="s">
        <v>27</v>
      </c>
      <c r="M28" s="8">
        <v>20.267289719626167</v>
      </c>
      <c r="N28" s="9">
        <v>321</v>
      </c>
      <c r="O28" s="8">
        <v>19.415932870610145</v>
      </c>
      <c r="P28" s="8">
        <v>19.083333333333332</v>
      </c>
      <c r="Q28" s="7">
        <f>N28/22</f>
        <v>14.590909090909092</v>
      </c>
      <c r="S28" s="10" t="s">
        <v>15</v>
      </c>
      <c r="T28" s="14">
        <v>17.305263157894736</v>
      </c>
      <c r="U28" s="14">
        <v>17.299477019627226</v>
      </c>
      <c r="V28" s="14">
        <v>19.541666666666664</v>
      </c>
      <c r="W28" s="9">
        <v>196</v>
      </c>
      <c r="X28" s="7">
        <f t="shared" si="2"/>
        <v>8.9090909090909083</v>
      </c>
    </row>
    <row r="29" spans="5:24" x14ac:dyDescent="0.25">
      <c r="E29" s="13" t="s">
        <v>12</v>
      </c>
      <c r="F29" s="8">
        <v>8.985628742514967</v>
      </c>
      <c r="G29" s="9">
        <v>181</v>
      </c>
      <c r="H29" s="8">
        <v>19.415932870610145</v>
      </c>
      <c r="I29" s="9">
        <v>20</v>
      </c>
      <c r="J29" s="7">
        <f t="shared" si="3"/>
        <v>8.2272727272727266</v>
      </c>
      <c r="L29" s="10" t="s">
        <v>12</v>
      </c>
      <c r="M29" s="8">
        <v>16.560606060606066</v>
      </c>
      <c r="N29" s="9">
        <v>198</v>
      </c>
      <c r="O29" s="8">
        <v>19.415932870610145</v>
      </c>
      <c r="P29" s="8">
        <v>19.083333333333332</v>
      </c>
      <c r="Q29" s="7">
        <f>N29/22</f>
        <v>9</v>
      </c>
      <c r="S29" s="10" t="s">
        <v>29</v>
      </c>
      <c r="T29" s="14">
        <v>17.195454545454535</v>
      </c>
      <c r="U29" s="14">
        <v>17.299477019627226</v>
      </c>
      <c r="V29" s="14">
        <v>19.541666666666664</v>
      </c>
      <c r="W29" s="9">
        <v>703</v>
      </c>
      <c r="X29" s="7">
        <f t="shared" si="2"/>
        <v>31.954545454545453</v>
      </c>
    </row>
    <row r="30" spans="5:24" x14ac:dyDescent="0.25">
      <c r="E30" s="13" t="s">
        <v>26</v>
      </c>
      <c r="F30" s="8">
        <v>16.304347826086961</v>
      </c>
      <c r="G30" s="9">
        <v>214</v>
      </c>
      <c r="H30" s="8">
        <v>19.415932870610145</v>
      </c>
      <c r="I30" s="9">
        <v>20</v>
      </c>
      <c r="J30" s="7">
        <f t="shared" si="3"/>
        <v>9.7272727272727266</v>
      </c>
      <c r="L30" s="10" t="s">
        <v>26</v>
      </c>
      <c r="M30" s="8">
        <v>18.565068493150683</v>
      </c>
      <c r="N30" s="9">
        <v>292</v>
      </c>
      <c r="O30" s="8">
        <v>19.415932870610145</v>
      </c>
      <c r="P30" s="8">
        <v>19.083333333333332</v>
      </c>
      <c r="Q30" s="7">
        <f>N30/22</f>
        <v>13.272727272727273</v>
      </c>
      <c r="S30" s="10" t="s">
        <v>28</v>
      </c>
      <c r="T30" s="14">
        <v>17.166301969365417</v>
      </c>
      <c r="U30" s="14">
        <v>17.299477019627226</v>
      </c>
      <c r="V30" s="14">
        <v>19.541666666666664</v>
      </c>
      <c r="W30" s="9">
        <v>459</v>
      </c>
      <c r="X30" s="7">
        <f t="shared" si="2"/>
        <v>20.863636363636363</v>
      </c>
    </row>
    <row r="31" spans="5:24" x14ac:dyDescent="0.25">
      <c r="E31" s="13" t="s">
        <v>24</v>
      </c>
      <c r="F31" s="8">
        <v>25.999999999999986</v>
      </c>
      <c r="G31" s="9">
        <v>127</v>
      </c>
      <c r="H31" s="8">
        <v>19.415932870610145</v>
      </c>
      <c r="I31" s="9">
        <v>20</v>
      </c>
      <c r="J31" s="7">
        <f t="shared" si="3"/>
        <v>5.7727272727272725</v>
      </c>
      <c r="L31" s="10" t="s">
        <v>24</v>
      </c>
      <c r="M31" s="8">
        <v>21.689361702127652</v>
      </c>
      <c r="N31" s="9">
        <v>235</v>
      </c>
      <c r="O31" s="8">
        <v>19.415932870610145</v>
      </c>
      <c r="P31" s="8">
        <v>19.083333333333332</v>
      </c>
      <c r="Q31" s="7">
        <f>N31/22</f>
        <v>10.681818181818182</v>
      </c>
      <c r="S31" s="10" t="s">
        <v>16</v>
      </c>
      <c r="T31" s="14">
        <v>16.594811320754712</v>
      </c>
      <c r="U31" s="14">
        <v>17.299477019627226</v>
      </c>
      <c r="V31" s="14">
        <v>19.541666666666664</v>
      </c>
      <c r="W31" s="9">
        <v>580</v>
      </c>
      <c r="X31" s="7">
        <f t="shared" si="2"/>
        <v>26.363636363636363</v>
      </c>
    </row>
    <row r="32" spans="5:24" x14ac:dyDescent="0.25">
      <c r="E32" s="13" t="s">
        <v>23</v>
      </c>
      <c r="F32" s="8">
        <v>21.658252427184472</v>
      </c>
      <c r="G32" s="9">
        <v>160</v>
      </c>
      <c r="H32" s="8">
        <v>19.415932870610145</v>
      </c>
      <c r="I32" s="9">
        <v>20</v>
      </c>
      <c r="J32" s="7">
        <f t="shared" si="3"/>
        <v>7.2727272727272725</v>
      </c>
      <c r="L32" s="10" t="s">
        <v>23</v>
      </c>
      <c r="M32" s="8">
        <v>21.138636363636355</v>
      </c>
      <c r="N32" s="9">
        <v>264</v>
      </c>
      <c r="O32" s="8">
        <v>19.415932870610145</v>
      </c>
      <c r="P32" s="8">
        <v>19.083333333333332</v>
      </c>
      <c r="Q32" s="7">
        <f>N32/22</f>
        <v>12</v>
      </c>
      <c r="S32" s="10" t="s">
        <v>6</v>
      </c>
      <c r="T32" s="14">
        <v>16.298694516971292</v>
      </c>
      <c r="U32" s="14">
        <v>17.299477019627226</v>
      </c>
      <c r="V32" s="14">
        <v>19.541666666666664</v>
      </c>
      <c r="W32" s="9">
        <v>442</v>
      </c>
      <c r="X32" s="7">
        <f t="shared" si="2"/>
        <v>20.09090909090909</v>
      </c>
    </row>
    <row r="33" spans="5:24" x14ac:dyDescent="0.25">
      <c r="E33" s="13" t="s">
        <v>21</v>
      </c>
      <c r="F33" s="8">
        <v>38.729999999999997</v>
      </c>
      <c r="G33" s="9">
        <v>61</v>
      </c>
      <c r="H33" s="8">
        <v>19.415932870610145</v>
      </c>
      <c r="I33" s="9">
        <v>20</v>
      </c>
      <c r="J33" s="7">
        <f t="shared" si="3"/>
        <v>2.7727272727272729</v>
      </c>
      <c r="L33" s="10" t="s">
        <v>21</v>
      </c>
      <c r="M33" s="8">
        <v>51.028235294117643</v>
      </c>
      <c r="N33" s="9">
        <v>85</v>
      </c>
      <c r="O33" s="8">
        <v>19.415932870610145</v>
      </c>
      <c r="P33" s="8">
        <v>19.083333333333332</v>
      </c>
      <c r="Q33" s="7">
        <f>N33/22</f>
        <v>3.8636363636363638</v>
      </c>
      <c r="S33" s="10" t="s">
        <v>25</v>
      </c>
      <c r="T33" s="14">
        <v>15.168669527896991</v>
      </c>
      <c r="U33" s="14">
        <v>17.299477019627226</v>
      </c>
      <c r="V33" s="14">
        <v>19.541666666666664</v>
      </c>
      <c r="W33" s="9">
        <v>478</v>
      </c>
      <c r="X33" s="7">
        <f t="shared" si="2"/>
        <v>21.727272727272727</v>
      </c>
    </row>
    <row r="34" spans="5:24" x14ac:dyDescent="0.25">
      <c r="E34" s="13" t="s">
        <v>19</v>
      </c>
      <c r="F34" s="8">
        <v>19.477499999999999</v>
      </c>
      <c r="G34" s="9">
        <v>120</v>
      </c>
      <c r="H34" s="8">
        <v>19.415932870610145</v>
      </c>
      <c r="I34" s="9">
        <v>20</v>
      </c>
      <c r="J34" s="7">
        <f t="shared" si="3"/>
        <v>5.4545454545454541</v>
      </c>
      <c r="L34" s="10" t="s">
        <v>19</v>
      </c>
      <c r="M34" s="8">
        <v>21.515021459227455</v>
      </c>
      <c r="N34" s="9">
        <v>233</v>
      </c>
      <c r="O34" s="8">
        <v>19.415932870610145</v>
      </c>
      <c r="P34" s="8">
        <v>19.083333333333332</v>
      </c>
      <c r="Q34" s="7">
        <f>N34/22</f>
        <v>10.590909090909092</v>
      </c>
      <c r="S34" s="10" t="s">
        <v>8</v>
      </c>
      <c r="T34" s="14">
        <v>14.96651785714287</v>
      </c>
      <c r="U34" s="14">
        <v>17.299477019627226</v>
      </c>
      <c r="V34" s="14">
        <v>19.541666666666664</v>
      </c>
      <c r="W34" s="9">
        <v>454</v>
      </c>
      <c r="X34" s="7">
        <f t="shared" si="2"/>
        <v>20.636363636363637</v>
      </c>
    </row>
    <row r="35" spans="5:24" x14ac:dyDescent="0.25">
      <c r="E35" s="13" t="s">
        <v>17</v>
      </c>
      <c r="F35" s="8">
        <v>15.825433526011562</v>
      </c>
      <c r="G35" s="9">
        <v>202</v>
      </c>
      <c r="H35" s="8">
        <v>19.415932870610145</v>
      </c>
      <c r="I35" s="9">
        <v>20</v>
      </c>
      <c r="J35" s="7">
        <f t="shared" si="3"/>
        <v>9.1818181818181817</v>
      </c>
      <c r="L35" s="10" t="s">
        <v>17</v>
      </c>
      <c r="M35" s="8">
        <v>23.019047619047612</v>
      </c>
      <c r="N35" s="9">
        <v>189</v>
      </c>
      <c r="O35" s="8">
        <v>19.415932870610145</v>
      </c>
      <c r="P35" s="8">
        <v>19.083333333333332</v>
      </c>
      <c r="Q35" s="7">
        <f>N35/22</f>
        <v>8.5909090909090917</v>
      </c>
      <c r="S35" s="10" t="s">
        <v>22</v>
      </c>
      <c r="T35" s="14">
        <v>14.108080808080816</v>
      </c>
      <c r="U35" s="14">
        <v>17.299477019627226</v>
      </c>
      <c r="V35" s="14">
        <v>19.541666666666664</v>
      </c>
      <c r="W35" s="9">
        <v>628</v>
      </c>
      <c r="X35" s="7">
        <f t="shared" si="2"/>
        <v>28.545454545454547</v>
      </c>
    </row>
    <row r="36" spans="5:24" x14ac:dyDescent="0.25">
      <c r="E36" s="13" t="s">
        <v>16</v>
      </c>
      <c r="F36" s="8">
        <v>8.1959390862944161</v>
      </c>
      <c r="G36" s="9">
        <v>353</v>
      </c>
      <c r="H36" s="8">
        <v>19.415932870610145</v>
      </c>
      <c r="I36" s="9">
        <v>20</v>
      </c>
      <c r="J36" s="7">
        <f t="shared" si="3"/>
        <v>16.045454545454547</v>
      </c>
      <c r="L36" s="10" t="s">
        <v>16</v>
      </c>
      <c r="M36" s="8">
        <v>23.883700440528653</v>
      </c>
      <c r="N36" s="9">
        <v>227</v>
      </c>
      <c r="O36" s="8">
        <v>19.415932870610145</v>
      </c>
      <c r="P36" s="8">
        <v>19.083333333333332</v>
      </c>
      <c r="Q36" s="7">
        <f>N36/22</f>
        <v>10.318181818181818</v>
      </c>
      <c r="S36" s="10" t="s">
        <v>20</v>
      </c>
      <c r="T36" s="14">
        <v>13.979421221864959</v>
      </c>
      <c r="U36" s="14">
        <v>17.299477019627226</v>
      </c>
      <c r="V36" s="14">
        <v>19.541666666666664</v>
      </c>
      <c r="W36" s="9">
        <v>643</v>
      </c>
      <c r="X36" s="7">
        <f t="shared" si="2"/>
        <v>29.227272727272727</v>
      </c>
    </row>
    <row r="37" spans="5:24" x14ac:dyDescent="0.25">
      <c r="E37" s="13" t="s">
        <v>15</v>
      </c>
      <c r="F37" s="8">
        <v>15.982857142857135</v>
      </c>
      <c r="G37" s="9">
        <v>149</v>
      </c>
      <c r="H37" s="8">
        <v>19.415932870610145</v>
      </c>
      <c r="I37" s="9">
        <v>20</v>
      </c>
      <c r="J37" s="7">
        <f t="shared" si="3"/>
        <v>6.7727272727272725</v>
      </c>
      <c r="L37" s="10" t="s">
        <v>15</v>
      </c>
      <c r="M37" s="8">
        <v>20.259574468085109</v>
      </c>
      <c r="N37" s="9">
        <v>47</v>
      </c>
      <c r="O37" s="8">
        <v>19.415932870610145</v>
      </c>
      <c r="P37" s="8">
        <v>19.083333333333332</v>
      </c>
      <c r="Q37" s="7">
        <f>N37/22</f>
        <v>2.1363636363636362</v>
      </c>
      <c r="S37" s="10" t="s">
        <v>18</v>
      </c>
      <c r="T37" s="14">
        <v>13.837354085603103</v>
      </c>
      <c r="U37" s="14">
        <v>17.299477019627226</v>
      </c>
      <c r="V37" s="14">
        <v>19.541666666666664</v>
      </c>
      <c r="W37" s="9">
        <v>262</v>
      </c>
      <c r="X37" s="7">
        <f t="shared" si="2"/>
        <v>11.909090909090908</v>
      </c>
    </row>
    <row r="38" spans="5:24" x14ac:dyDescent="0.25">
      <c r="E38" s="13" t="s">
        <v>13</v>
      </c>
      <c r="F38" s="8">
        <v>17.603333333333328</v>
      </c>
      <c r="G38" s="9">
        <v>202</v>
      </c>
      <c r="H38" s="8">
        <v>19.415932870610145</v>
      </c>
      <c r="I38" s="9">
        <v>20</v>
      </c>
      <c r="J38" s="7">
        <f t="shared" si="3"/>
        <v>9.1818181818181817</v>
      </c>
      <c r="L38" s="10" t="s">
        <v>13</v>
      </c>
      <c r="M38" s="8">
        <v>18.140659340659337</v>
      </c>
      <c r="N38" s="9">
        <v>274</v>
      </c>
      <c r="O38" s="8">
        <v>19.415932870610145</v>
      </c>
      <c r="P38" s="8">
        <v>19.083333333333332</v>
      </c>
      <c r="Q38" s="7">
        <f>N38/22</f>
        <v>12.454545454545455</v>
      </c>
      <c r="S38" s="10" t="s">
        <v>14</v>
      </c>
      <c r="T38" s="14">
        <v>13.25622593068036</v>
      </c>
      <c r="U38" s="14">
        <v>17.299477019627226</v>
      </c>
      <c r="V38" s="14">
        <v>19.541666666666664</v>
      </c>
      <c r="W38" s="9">
        <v>897</v>
      </c>
      <c r="X38" s="7">
        <f t="shared" ref="X38:X45" si="5">W38/22</f>
        <v>40.772727272727273</v>
      </c>
    </row>
    <row r="39" spans="5:24" x14ac:dyDescent="0.25">
      <c r="E39" s="13" t="s">
        <v>9</v>
      </c>
      <c r="F39" s="8">
        <v>9.8755980861244037</v>
      </c>
      <c r="G39" s="9">
        <v>225</v>
      </c>
      <c r="H39" s="8">
        <v>19.415932870610145</v>
      </c>
      <c r="I39" s="9">
        <v>20</v>
      </c>
      <c r="J39" s="7">
        <f t="shared" si="3"/>
        <v>10.227272727272727</v>
      </c>
      <c r="L39" s="10" t="s">
        <v>9</v>
      </c>
      <c r="M39" s="8">
        <v>14.544230769230769</v>
      </c>
      <c r="N39" s="9">
        <v>208</v>
      </c>
      <c r="O39" s="8">
        <v>19.415932870610145</v>
      </c>
      <c r="P39" s="8">
        <v>19.083333333333332</v>
      </c>
      <c r="Q39" s="7">
        <f>N39/22</f>
        <v>9.454545454545455</v>
      </c>
      <c r="S39" s="10" t="s">
        <v>12</v>
      </c>
      <c r="T39" s="14">
        <v>13.094794520547946</v>
      </c>
      <c r="U39" s="14">
        <v>17.299477019627226</v>
      </c>
      <c r="V39" s="14">
        <v>19.541666666666664</v>
      </c>
      <c r="W39" s="9">
        <v>379</v>
      </c>
      <c r="X39" s="7">
        <f t="shared" si="5"/>
        <v>17.227272727272727</v>
      </c>
    </row>
    <row r="40" spans="5:24" x14ac:dyDescent="0.25">
      <c r="E40" s="13" t="s">
        <v>10</v>
      </c>
      <c r="F40" s="8">
        <v>22.002919708029196</v>
      </c>
      <c r="G40" s="9">
        <v>146</v>
      </c>
      <c r="H40" s="8">
        <v>19.415932870610145</v>
      </c>
      <c r="I40" s="9">
        <v>20</v>
      </c>
      <c r="J40" s="7">
        <f t="shared" si="3"/>
        <v>6.6363636363636367</v>
      </c>
      <c r="L40" s="10" t="s">
        <v>10</v>
      </c>
      <c r="M40" s="8">
        <v>23.139534883720948</v>
      </c>
      <c r="N40" s="9">
        <v>129</v>
      </c>
      <c r="O40" s="8">
        <v>19.415932870610145</v>
      </c>
      <c r="P40" s="8">
        <v>19.083333333333332</v>
      </c>
      <c r="Q40" s="7">
        <f>N40/22</f>
        <v>5.8636363636363633</v>
      </c>
      <c r="S40" s="10" t="s">
        <v>11</v>
      </c>
      <c r="T40" s="14">
        <v>12.958029197080299</v>
      </c>
      <c r="U40" s="14">
        <v>17.299477019627226</v>
      </c>
      <c r="V40" s="14">
        <v>19.541666666666664</v>
      </c>
      <c r="W40" s="9">
        <v>574</v>
      </c>
      <c r="X40" s="7">
        <f t="shared" si="5"/>
        <v>26.09090909090909</v>
      </c>
    </row>
    <row r="41" spans="5:24" x14ac:dyDescent="0.25">
      <c r="E41" s="13" t="s">
        <v>8</v>
      </c>
      <c r="F41" s="8">
        <v>13.852307692307692</v>
      </c>
      <c r="G41" s="9">
        <v>201</v>
      </c>
      <c r="H41" s="8">
        <v>19.415932870610145</v>
      </c>
      <c r="I41" s="9">
        <v>20</v>
      </c>
      <c r="J41" s="7">
        <f t="shared" si="3"/>
        <v>9.1363636363636367</v>
      </c>
      <c r="L41" s="10" t="s">
        <v>8</v>
      </c>
      <c r="M41" s="8">
        <v>15.825296442687739</v>
      </c>
      <c r="N41" s="9">
        <v>253</v>
      </c>
      <c r="O41" s="8">
        <v>19.415932870610145</v>
      </c>
      <c r="P41" s="8">
        <v>19.083333333333332</v>
      </c>
      <c r="Q41" s="7">
        <f>N41/22</f>
        <v>11.5</v>
      </c>
      <c r="S41" s="10" t="s">
        <v>9</v>
      </c>
      <c r="T41" s="14">
        <v>12.204316546762595</v>
      </c>
      <c r="U41" s="14">
        <v>17.299477019627226</v>
      </c>
      <c r="V41" s="14">
        <v>19.541666666666664</v>
      </c>
      <c r="W41" s="9">
        <v>433</v>
      </c>
      <c r="X41" s="7">
        <f t="shared" si="5"/>
        <v>19.681818181818183</v>
      </c>
    </row>
    <row r="42" spans="5:24" x14ac:dyDescent="0.25">
      <c r="E42" s="13" t="s">
        <v>6</v>
      </c>
      <c r="F42" s="8">
        <v>15.328205128205123</v>
      </c>
      <c r="G42" s="9">
        <v>176</v>
      </c>
      <c r="H42" s="8">
        <v>19.415932870610145</v>
      </c>
      <c r="I42" s="9">
        <v>20</v>
      </c>
      <c r="J42" s="7">
        <f t="shared" si="3"/>
        <v>8</v>
      </c>
      <c r="L42" s="10" t="s">
        <v>6</v>
      </c>
      <c r="M42" s="8">
        <v>16.725563909774436</v>
      </c>
      <c r="N42" s="9">
        <v>266</v>
      </c>
      <c r="O42" s="8">
        <v>19.415932870610145</v>
      </c>
      <c r="P42" s="8">
        <v>19.083333333333332</v>
      </c>
      <c r="Q42" s="7">
        <f>N42/22</f>
        <v>12.090909090909092</v>
      </c>
      <c r="S42" s="10" t="s">
        <v>7</v>
      </c>
      <c r="T42" s="14">
        <v>10.447516198704101</v>
      </c>
      <c r="U42" s="14">
        <v>17.299477019627226</v>
      </c>
      <c r="V42" s="14">
        <v>19.541666666666664</v>
      </c>
      <c r="W42" s="9">
        <v>493</v>
      </c>
      <c r="X42" s="7">
        <f t="shared" si="5"/>
        <v>22.40909090909091</v>
      </c>
    </row>
    <row r="43" spans="5:24" x14ac:dyDescent="0.25">
      <c r="E43" s="13" t="s">
        <v>4</v>
      </c>
      <c r="F43" s="8">
        <v>13.499999999999993</v>
      </c>
      <c r="G43" s="9">
        <v>151</v>
      </c>
      <c r="H43" s="8">
        <v>19.415932870610145</v>
      </c>
      <c r="I43" s="9">
        <v>20</v>
      </c>
      <c r="J43" s="7">
        <f t="shared" si="3"/>
        <v>6.8636363636363633</v>
      </c>
      <c r="L43" s="10" t="s">
        <v>4</v>
      </c>
      <c r="M43" s="8">
        <v>25.788732394366228</v>
      </c>
      <c r="N43" s="9">
        <v>213</v>
      </c>
      <c r="O43" s="8">
        <v>19.415932870610145</v>
      </c>
      <c r="P43" s="8">
        <v>19.083333333333332</v>
      </c>
      <c r="Q43" s="7">
        <f>N43/22</f>
        <v>9.6818181818181817</v>
      </c>
      <c r="S43" s="10" t="s">
        <v>5</v>
      </c>
      <c r="T43" s="14">
        <v>9.8519999999999985</v>
      </c>
      <c r="U43" s="14">
        <v>17.299477019627226</v>
      </c>
      <c r="V43" s="14">
        <v>19.541666666666664</v>
      </c>
      <c r="W43" s="9">
        <v>314</v>
      </c>
      <c r="X43" s="7">
        <f t="shared" si="5"/>
        <v>14.272727272727273</v>
      </c>
    </row>
    <row r="44" spans="5:24" x14ac:dyDescent="0.25">
      <c r="E44" s="13" t="s">
        <v>2</v>
      </c>
      <c r="F44" s="8">
        <v>33.727058823529411</v>
      </c>
      <c r="G44" s="9">
        <v>146</v>
      </c>
      <c r="H44" s="8">
        <v>19.415932870610145</v>
      </c>
      <c r="I44" s="9">
        <v>20</v>
      </c>
      <c r="J44" s="7">
        <f t="shared" si="3"/>
        <v>6.6363636363636367</v>
      </c>
      <c r="L44" s="10" t="s">
        <v>2</v>
      </c>
      <c r="M44" s="8">
        <v>30.292227979274603</v>
      </c>
      <c r="N44" s="9">
        <v>194</v>
      </c>
      <c r="O44" s="8">
        <v>19.415932870610145</v>
      </c>
      <c r="P44" s="8">
        <v>19.083333333333332</v>
      </c>
      <c r="Q44" s="7">
        <f>N44/22</f>
        <v>8.8181818181818183</v>
      </c>
      <c r="S44" s="10" t="s">
        <v>3</v>
      </c>
      <c r="T44" s="14">
        <v>9.4571030640668692</v>
      </c>
      <c r="U44" s="14">
        <v>17.299477019627226</v>
      </c>
      <c r="V44" s="14">
        <v>19.541666666666664</v>
      </c>
      <c r="W44" s="9">
        <v>860</v>
      </c>
      <c r="X44" s="7">
        <f t="shared" si="5"/>
        <v>39.090909090909093</v>
      </c>
    </row>
    <row r="45" spans="5:24" ht="15.75" thickBot="1" x14ac:dyDescent="0.3">
      <c r="E45" s="11" t="s">
        <v>0</v>
      </c>
      <c r="F45" s="4">
        <v>16.233027522935785</v>
      </c>
      <c r="G45" s="5">
        <v>125</v>
      </c>
      <c r="H45" s="4">
        <v>19.415932870610145</v>
      </c>
      <c r="I45" s="5">
        <v>20</v>
      </c>
      <c r="J45" s="3">
        <f t="shared" si="3"/>
        <v>5.6818181818181817</v>
      </c>
      <c r="L45" s="6" t="s">
        <v>0</v>
      </c>
      <c r="M45" s="4">
        <v>23.587317073170752</v>
      </c>
      <c r="N45" s="5">
        <v>205</v>
      </c>
      <c r="O45" s="4">
        <v>19.415932870610145</v>
      </c>
      <c r="P45" s="4">
        <v>19.083333333333332</v>
      </c>
      <c r="Q45" s="3">
        <f>N45/22</f>
        <v>9.3181818181818183</v>
      </c>
      <c r="S45" s="6" t="s">
        <v>1</v>
      </c>
      <c r="T45" s="12">
        <v>9.2927586206896571</v>
      </c>
      <c r="U45" s="12">
        <v>17.299477019627226</v>
      </c>
      <c r="V45" s="12">
        <v>19.541666666666664</v>
      </c>
      <c r="W45" s="5">
        <v>680</v>
      </c>
      <c r="X45" s="3">
        <f t="shared" si="5"/>
        <v>30.90909090909091</v>
      </c>
    </row>
    <row r="48" spans="5:24" x14ac:dyDescent="0.25">
      <c r="E48" s="2"/>
      <c r="F48" s="1"/>
    </row>
  </sheetData>
  <mergeCells count="3">
    <mergeCell ref="L3:Q3"/>
    <mergeCell ref="E3:J3"/>
    <mergeCell ref="S3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Cengia</dc:creator>
  <cp:lastModifiedBy>Leonardo Cengia</cp:lastModifiedBy>
  <dcterms:created xsi:type="dcterms:W3CDTF">2026-06-08T14:51:02Z</dcterms:created>
  <dcterms:modified xsi:type="dcterms:W3CDTF">2026-06-12T10:53:40Z</dcterms:modified>
</cp:coreProperties>
</file>